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 sheetId="1" r:id="rId5"/>
    <sheet state="visible" name="GROSSARY" sheetId="2" r:id="rId6"/>
    <sheet state="visible" name="REQUIREMENT" sheetId="3" r:id="rId7"/>
    <sheet state="visible" name="Explore" sheetId="4" r:id="rId8"/>
    <sheet state="visible" name="Forecast" sheetId="5" r:id="rId9"/>
  </sheets>
  <definedNames/>
  <calcPr/>
</workbook>
</file>

<file path=xl/sharedStrings.xml><?xml version="1.0" encoding="utf-8"?>
<sst xmlns="http://schemas.openxmlformats.org/spreadsheetml/2006/main" count="578" uniqueCount="466">
  <si>
    <t>datem</t>
  </si>
  <si>
    <t>date</t>
  </si>
  <si>
    <t>cpius</t>
  </si>
  <si>
    <t>oilpr</t>
  </si>
  <si>
    <t>lneer</t>
  </si>
  <si>
    <t>lreer</t>
  </si>
  <si>
    <t>fedfunds</t>
  </si>
  <si>
    <t>igrea</t>
  </si>
  <si>
    <t>rate1m</t>
  </si>
  <si>
    <t>rate3m</t>
  </si>
  <si>
    <t>rate6m</t>
  </si>
  <si>
    <t>rateovn</t>
  </si>
  <si>
    <t>vndusd</t>
  </si>
  <si>
    <t>cpi</t>
  </si>
  <si>
    <t>alto</t>
  </si>
  <si>
    <t>clot</t>
  </si>
  <si>
    <t>educ</t>
  </si>
  <si>
    <t>eqip</t>
  </si>
  <si>
    <t>food</t>
  </si>
  <si>
    <t>helh</t>
  </si>
  <si>
    <t>hous</t>
  </si>
  <si>
    <t>misc</t>
  </si>
  <si>
    <t>recr</t>
  </si>
  <si>
    <t>tran</t>
  </si>
  <si>
    <t>cpi_2023</t>
  </si>
  <si>
    <t>2000M01</t>
  </si>
  <si>
    <t>2000M02</t>
  </si>
  <si>
    <t>2000M03</t>
  </si>
  <si>
    <t>2000M04</t>
  </si>
  <si>
    <t>2000M05</t>
  </si>
  <si>
    <t>2000M06</t>
  </si>
  <si>
    <t>2000M07</t>
  </si>
  <si>
    <t>2000M08</t>
  </si>
  <si>
    <t>2000M09</t>
  </si>
  <si>
    <t>2000M10</t>
  </si>
  <si>
    <t>2000M11</t>
  </si>
  <si>
    <t>2000M12</t>
  </si>
  <si>
    <t>2001M01</t>
  </si>
  <si>
    <t>2001M02</t>
  </si>
  <si>
    <t>2001M03</t>
  </si>
  <si>
    <t>2001M04</t>
  </si>
  <si>
    <t>2001M05</t>
  </si>
  <si>
    <t>2001M06</t>
  </si>
  <si>
    <t>2001M07</t>
  </si>
  <si>
    <t>2001M08</t>
  </si>
  <si>
    <t>2001M09</t>
  </si>
  <si>
    <t>2001M10</t>
  </si>
  <si>
    <t>2001M11</t>
  </si>
  <si>
    <t>2001M12</t>
  </si>
  <si>
    <t>2002M01</t>
  </si>
  <si>
    <t>2002M02</t>
  </si>
  <si>
    <t>2002M03</t>
  </si>
  <si>
    <t>2002M04</t>
  </si>
  <si>
    <t>2002M05</t>
  </si>
  <si>
    <t>2002M06</t>
  </si>
  <si>
    <t>2002M07</t>
  </si>
  <si>
    <t>2002M08</t>
  </si>
  <si>
    <t>2002M09</t>
  </si>
  <si>
    <t>2002M10</t>
  </si>
  <si>
    <t>2002M11</t>
  </si>
  <si>
    <t>2002M12</t>
  </si>
  <si>
    <t>2003M01</t>
  </si>
  <si>
    <t>2003M02</t>
  </si>
  <si>
    <t>2003M03</t>
  </si>
  <si>
    <t>2003M04</t>
  </si>
  <si>
    <t>2003M05</t>
  </si>
  <si>
    <t>2003M06</t>
  </si>
  <si>
    <t>2003M07</t>
  </si>
  <si>
    <t>2003M08</t>
  </si>
  <si>
    <t>2003M09</t>
  </si>
  <si>
    <t>2003M10</t>
  </si>
  <si>
    <t>2003M11</t>
  </si>
  <si>
    <t>2003M12</t>
  </si>
  <si>
    <t>2004M01</t>
  </si>
  <si>
    <t>2004M02</t>
  </si>
  <si>
    <t>2004M03</t>
  </si>
  <si>
    <t>2004M04</t>
  </si>
  <si>
    <t>2004M05</t>
  </si>
  <si>
    <t>2004M06</t>
  </si>
  <si>
    <t>2004M07</t>
  </si>
  <si>
    <t>2004M08</t>
  </si>
  <si>
    <t>2004M09</t>
  </si>
  <si>
    <t>2004M10</t>
  </si>
  <si>
    <t>2004M11</t>
  </si>
  <si>
    <t>2004M12</t>
  </si>
  <si>
    <t>2005M01</t>
  </si>
  <si>
    <t>2005M02</t>
  </si>
  <si>
    <t>2005M03</t>
  </si>
  <si>
    <t>2005M04</t>
  </si>
  <si>
    <t>2005M05</t>
  </si>
  <si>
    <t>2005M06</t>
  </si>
  <si>
    <t>2005M07</t>
  </si>
  <si>
    <t>2005M08</t>
  </si>
  <si>
    <t>2005M09</t>
  </si>
  <si>
    <t>2005M10</t>
  </si>
  <si>
    <t>2005M11</t>
  </si>
  <si>
    <t>2005M12</t>
  </si>
  <si>
    <t>2006M01</t>
  </si>
  <si>
    <t>2006M02</t>
  </si>
  <si>
    <t>2006M03</t>
  </si>
  <si>
    <t>2006M04</t>
  </si>
  <si>
    <t>2006M05</t>
  </si>
  <si>
    <t>2006M06</t>
  </si>
  <si>
    <t>2006M07</t>
  </si>
  <si>
    <t>2006M08</t>
  </si>
  <si>
    <t>2006M09</t>
  </si>
  <si>
    <t>2006M10</t>
  </si>
  <si>
    <t>2006M11</t>
  </si>
  <si>
    <t>2006M12</t>
  </si>
  <si>
    <t>2007M01</t>
  </si>
  <si>
    <t>2007M02</t>
  </si>
  <si>
    <t>2007M03</t>
  </si>
  <si>
    <t>2007M04</t>
  </si>
  <si>
    <t>2007M05</t>
  </si>
  <si>
    <t>2007M06</t>
  </si>
  <si>
    <t>2007M07</t>
  </si>
  <si>
    <t>2007M08</t>
  </si>
  <si>
    <t>2007M09</t>
  </si>
  <si>
    <t>2007M10</t>
  </si>
  <si>
    <t>2007M11</t>
  </si>
  <si>
    <t>2007M12</t>
  </si>
  <si>
    <t>2008M01</t>
  </si>
  <si>
    <t>2008M02</t>
  </si>
  <si>
    <t>2008M03</t>
  </si>
  <si>
    <t>2008M04</t>
  </si>
  <si>
    <t>2008M05</t>
  </si>
  <si>
    <t>2008M06</t>
  </si>
  <si>
    <t>2008M07</t>
  </si>
  <si>
    <t>2008M08</t>
  </si>
  <si>
    <t>2008M09</t>
  </si>
  <si>
    <t>2008M10</t>
  </si>
  <si>
    <t>2008M11</t>
  </si>
  <si>
    <t>2008M12</t>
  </si>
  <si>
    <t>2009M01</t>
  </si>
  <si>
    <t>2009M02</t>
  </si>
  <si>
    <t>2009M03</t>
  </si>
  <si>
    <t>2009M04</t>
  </si>
  <si>
    <t>2009M05</t>
  </si>
  <si>
    <t>2009M06</t>
  </si>
  <si>
    <t>2009M07</t>
  </si>
  <si>
    <t>2009M08</t>
  </si>
  <si>
    <t>2009M09</t>
  </si>
  <si>
    <t>2009M10</t>
  </si>
  <si>
    <t>2009M11</t>
  </si>
  <si>
    <t>2009M12</t>
  </si>
  <si>
    <t>2010M01</t>
  </si>
  <si>
    <t>2010M02</t>
  </si>
  <si>
    <t>2010M03</t>
  </si>
  <si>
    <t>2010M04</t>
  </si>
  <si>
    <t>2010M05</t>
  </si>
  <si>
    <t>2010M06</t>
  </si>
  <si>
    <t>2010M07</t>
  </si>
  <si>
    <t>2010M08</t>
  </si>
  <si>
    <t>2010M09</t>
  </si>
  <si>
    <t>2010M10</t>
  </si>
  <si>
    <t>2010M11</t>
  </si>
  <si>
    <t>2010M12</t>
  </si>
  <si>
    <t>2011M01</t>
  </si>
  <si>
    <t>2011M02</t>
  </si>
  <si>
    <t>2011M03</t>
  </si>
  <si>
    <t>2011M04</t>
  </si>
  <si>
    <t>2011M05</t>
  </si>
  <si>
    <t>2011M06</t>
  </si>
  <si>
    <t>2011M07</t>
  </si>
  <si>
    <t>2011M08</t>
  </si>
  <si>
    <t>2011M09</t>
  </si>
  <si>
    <t>2011M10</t>
  </si>
  <si>
    <t>2011M11</t>
  </si>
  <si>
    <t>2011M12</t>
  </si>
  <si>
    <t>2012M01</t>
  </si>
  <si>
    <t>2012M02</t>
  </si>
  <si>
    <t>2012M03</t>
  </si>
  <si>
    <t>2012M04</t>
  </si>
  <si>
    <t>2012M05</t>
  </si>
  <si>
    <t>2012M06</t>
  </si>
  <si>
    <t>2012M07</t>
  </si>
  <si>
    <t>2012M08</t>
  </si>
  <si>
    <t>2012M09</t>
  </si>
  <si>
    <t>2012M10</t>
  </si>
  <si>
    <t>2012M11</t>
  </si>
  <si>
    <t>2012M12</t>
  </si>
  <si>
    <t>2013M01</t>
  </si>
  <si>
    <t>2013M02</t>
  </si>
  <si>
    <t>2013M03</t>
  </si>
  <si>
    <t>2013M04</t>
  </si>
  <si>
    <t>2013M05</t>
  </si>
  <si>
    <t>2013M06</t>
  </si>
  <si>
    <t>2013M07</t>
  </si>
  <si>
    <t>2013M08</t>
  </si>
  <si>
    <t>2013M09</t>
  </si>
  <si>
    <t>2013M10</t>
  </si>
  <si>
    <t>2013M11</t>
  </si>
  <si>
    <t>2013M12</t>
  </si>
  <si>
    <t>2014M01</t>
  </si>
  <si>
    <t>2014M02</t>
  </si>
  <si>
    <t>2014M03</t>
  </si>
  <si>
    <t>2014M04</t>
  </si>
  <si>
    <t>2014M05</t>
  </si>
  <si>
    <t>2014M06</t>
  </si>
  <si>
    <t>2014M07</t>
  </si>
  <si>
    <t>2014M08</t>
  </si>
  <si>
    <t>2014M09</t>
  </si>
  <si>
    <t>2014M10</t>
  </si>
  <si>
    <t>2014M11</t>
  </si>
  <si>
    <t>2014M12</t>
  </si>
  <si>
    <t>2015M01</t>
  </si>
  <si>
    <t>2015M02</t>
  </si>
  <si>
    <t>2015M03</t>
  </si>
  <si>
    <t>2015M04</t>
  </si>
  <si>
    <t>2015M05</t>
  </si>
  <si>
    <t>2015M06</t>
  </si>
  <si>
    <t>2015M07</t>
  </si>
  <si>
    <t>2015M08</t>
  </si>
  <si>
    <t>2015M09</t>
  </si>
  <si>
    <t>2015M10</t>
  </si>
  <si>
    <t>2015M11</t>
  </si>
  <si>
    <t>2015M12</t>
  </si>
  <si>
    <t>2016M01</t>
  </si>
  <si>
    <t>2016M02</t>
  </si>
  <si>
    <t>2016M03</t>
  </si>
  <si>
    <t>2016M04</t>
  </si>
  <si>
    <t>2016M05</t>
  </si>
  <si>
    <t>2016M06</t>
  </si>
  <si>
    <t>2016M07</t>
  </si>
  <si>
    <t>2016M08</t>
  </si>
  <si>
    <t>2016M09</t>
  </si>
  <si>
    <t>2016M10</t>
  </si>
  <si>
    <t>2016M11</t>
  </si>
  <si>
    <t>2016M12</t>
  </si>
  <si>
    <t>2017M01</t>
  </si>
  <si>
    <t>2017M02</t>
  </si>
  <si>
    <t>2017M03</t>
  </si>
  <si>
    <t>2017M04</t>
  </si>
  <si>
    <t>2017M05</t>
  </si>
  <si>
    <t>2017M06</t>
  </si>
  <si>
    <t>2017M07</t>
  </si>
  <si>
    <t>2017M08</t>
  </si>
  <si>
    <t>2017M09</t>
  </si>
  <si>
    <t>2017M10</t>
  </si>
  <si>
    <t>2017M11</t>
  </si>
  <si>
    <t>2017M12</t>
  </si>
  <si>
    <t>2018M01</t>
  </si>
  <si>
    <t>2018M02</t>
  </si>
  <si>
    <t>2018M03</t>
  </si>
  <si>
    <t>2018M04</t>
  </si>
  <si>
    <t>2018M05</t>
  </si>
  <si>
    <t>2018M06</t>
  </si>
  <si>
    <t>2018M07</t>
  </si>
  <si>
    <t>2018M08</t>
  </si>
  <si>
    <t>2018M09</t>
  </si>
  <si>
    <t>2018M10</t>
  </si>
  <si>
    <t>2018M11</t>
  </si>
  <si>
    <t>2018M12</t>
  </si>
  <si>
    <t>2019M01</t>
  </si>
  <si>
    <t>2019M02</t>
  </si>
  <si>
    <t>2019M03</t>
  </si>
  <si>
    <t>2019M04</t>
  </si>
  <si>
    <t>2019M05</t>
  </si>
  <si>
    <t>2019M06</t>
  </si>
  <si>
    <t>2019M07</t>
  </si>
  <si>
    <t>2019M08</t>
  </si>
  <si>
    <t>2019M09</t>
  </si>
  <si>
    <t>2019M10</t>
  </si>
  <si>
    <t>2019M11</t>
  </si>
  <si>
    <t>2019M12</t>
  </si>
  <si>
    <t>2020M01</t>
  </si>
  <si>
    <t>2020M02</t>
  </si>
  <si>
    <t>2020M03</t>
  </si>
  <si>
    <t>2020M04</t>
  </si>
  <si>
    <t>2020M05</t>
  </si>
  <si>
    <t>2020M06</t>
  </si>
  <si>
    <t>2020M07</t>
  </si>
  <si>
    <t>2020M08</t>
  </si>
  <si>
    <t>2020M09</t>
  </si>
  <si>
    <t>2020M10</t>
  </si>
  <si>
    <t>2020M11</t>
  </si>
  <si>
    <t>2020M12</t>
  </si>
  <si>
    <t>2021M01</t>
  </si>
  <si>
    <t>2021M02</t>
  </si>
  <si>
    <t>2021M03</t>
  </si>
  <si>
    <t>2021M04</t>
  </si>
  <si>
    <t>2021M05</t>
  </si>
  <si>
    <t>2021M06</t>
  </si>
  <si>
    <t>2021M07</t>
  </si>
  <si>
    <t>2021M08</t>
  </si>
  <si>
    <t>2021M09</t>
  </si>
  <si>
    <t>2021M10</t>
  </si>
  <si>
    <t>2021M11</t>
  </si>
  <si>
    <t>2021M12</t>
  </si>
  <si>
    <t>2022M01</t>
  </si>
  <si>
    <t>2022M02</t>
  </si>
  <si>
    <t>2022M03</t>
  </si>
  <si>
    <t>2022M04</t>
  </si>
  <si>
    <t>2022M05</t>
  </si>
  <si>
    <t>2022M06</t>
  </si>
  <si>
    <t>2022M07</t>
  </si>
  <si>
    <t>2022M08</t>
  </si>
  <si>
    <t>2022M09</t>
  </si>
  <si>
    <t>2022M10</t>
  </si>
  <si>
    <t>2022M11</t>
  </si>
  <si>
    <t>2022M12</t>
  </si>
  <si>
    <t>2023M1</t>
  </si>
  <si>
    <t>2023M2</t>
  </si>
  <si>
    <t>2023M3</t>
  </si>
  <si>
    <t>2023M4</t>
  </si>
  <si>
    <t>2023M5</t>
  </si>
  <si>
    <t>2023M6</t>
  </si>
  <si>
    <t>2023M7</t>
  </si>
  <si>
    <t>2023M8</t>
  </si>
  <si>
    <t>2023M9</t>
  </si>
  <si>
    <t>2023M10</t>
  </si>
  <si>
    <t>2023M11</t>
  </si>
  <si>
    <t>2023M12</t>
  </si>
  <si>
    <t>Variable</t>
  </si>
  <si>
    <t>Describe</t>
  </si>
  <si>
    <t>Meaning</t>
  </si>
  <si>
    <t>Report month (YYYY-MM)</t>
  </si>
  <si>
    <t>Report month (MM-DD-YYYY)</t>
  </si>
  <si>
    <t>YYYY-MM-DD</t>
  </si>
  <si>
    <t>Chỉ số giá tiêu dùng (CPI) của Mỹ</t>
  </si>
  <si>
    <t>Giá dầu quốc tế (USD/thùng)</t>
  </si>
  <si>
    <t>Logarit của tỷ giá hối đoái danh nghĩa hiệu lực (NEER)</t>
  </si>
  <si>
    <t xml:space="preserve">Đánh giá xu hướng tỷ giá tổng thể </t>
  </si>
  <si>
    <t>Logarit của tỷ giá hối đoái thực tế hiệu lực (REER)</t>
  </si>
  <si>
    <t>Phân tích cạnh tranh thương mại, sức mua (Có điều chỉnh lạm phát)</t>
  </si>
  <si>
    <t>Lãi suất quỹ liên bang của Mỹ (Federal Funds Rate)</t>
  </si>
  <si>
    <t>Lãi suất trái phiếu chính phủ Việt Nam (trung/dài hạn)</t>
  </si>
  <si>
    <t>Lãi suất liên ngân hàng kỳ hạn 1 tháng</t>
  </si>
  <si>
    <t>Lãi suất liên ngân hàng kỳ hạn 3 tháng</t>
  </si>
  <si>
    <t>Lãi suất liên ngân hàng kỳ hạn 6 tháng</t>
  </si>
  <si>
    <t>Lãi suất liên ngân hàng qua đêm (overnight)</t>
  </si>
  <si>
    <t>Tỷ giá hối đoái VND/USD</t>
  </si>
  <si>
    <t>Chỉ số giá tiêu dùng tổng thể tại Việt Nam</t>
  </si>
  <si>
    <t>CPI nhóm đồ uống có cồn và thuốc lá</t>
  </si>
  <si>
    <t>CPI nhóm quần áo và giày dép</t>
  </si>
  <si>
    <t>CPI nhóm giáo dục</t>
  </si>
  <si>
    <t>CPI nhóm thiết bị và đồ dùng gia đình</t>
  </si>
  <si>
    <t>CPI nhóm lương thực, thực phẩm</t>
  </si>
  <si>
    <t>CPI nhóm y tế và chăm sóc sức khỏe</t>
  </si>
  <si>
    <t>CPI nhóm nhà ở, điện, nước, gas và nhiên liệu khác</t>
  </si>
  <si>
    <t>CPI nhóm hàng hóa và dịch vụ khác</t>
  </si>
  <si>
    <t>CPI nhóm văn hóa, giải trí và du lịch</t>
  </si>
  <si>
    <t>CPI nhóm giao thông</t>
  </si>
  <si>
    <t>Chỉ số giá tiêu dùng riêng cho năm 2023</t>
  </si>
  <si>
    <t>Báo cáo kỹ thuật dự báo chỉ số giá cả Việt Nam năm 2023 dựa trên dữ liệu đã cho đến 2022-12.</t>
  </si>
  <si>
    <t>1.Giới thiệu</t>
  </si>
  <si>
    <t>Bối cảnh</t>
  </si>
  <si>
    <t>Mục tiêu</t>
  </si>
  <si>
    <t>Ý nghĩa thực tiễn</t>
  </si>
  <si>
    <t>Thông tin về dữ liệu cần phân tích</t>
  </si>
  <si>
    <t>Công cụ phân tích: Python, Excel , ...</t>
  </si>
  <si>
    <r>
      <rPr>
        <rFont val="Aptos Narrow"/>
        <b/>
        <color theme="4"/>
        <sz val="11.0"/>
      </rPr>
      <t>2. Phương pháp:</t>
    </r>
    <r>
      <rPr>
        <rFont val="Aptos Narrow"/>
        <color theme="4"/>
        <sz val="11.0"/>
      </rPr>
      <t xml:space="preserve"> </t>
    </r>
  </si>
  <si>
    <t xml:space="preserve">*trình bày đầy đủ cơ sở lý thuyết các phương pháp ước lượng (econometric methods) sử dụng trong bài luận để dự báo, và trình bày các tiêu chuẩn đánh giá chất lượng dự báo </t>
  </si>
  <si>
    <t>* Về kỹ thuật: ít nhất 2 phương pháp kinh tế lượng được sử dụng và có ít nhất 4 mô hình để so sánh</t>
  </si>
  <si>
    <t xml:space="preserve">* Dữ liệu năm 2023 (dùng để đối chứng) </t>
  </si>
  <si>
    <t>2.1 Cơ sở lý thuyết các phương pháp dự báo</t>
  </si>
  <si>
    <t>2.1.1 Mô hình Vector Autoregression</t>
  </si>
  <si>
    <t>Ước lượng độ trễ từng biến</t>
  </si>
  <si>
    <t>Mô tả cách các biến kinh tế tác động lẫn nhau (đa phương trình).</t>
  </si>
  <si>
    <t>Dự báo dựa vào giá trị quá khứ của toàn bộ hệ thống biến.</t>
  </si>
  <si>
    <t>2.1.2 Mô hình ARIMA / SARIMA</t>
  </si>
  <si>
    <t>có xu hướng nhưng có tính mùa vụ / không có tính mùa vụ rõ rệt</t>
  </si>
  <si>
    <t>Dựa trên chuỗi thời gian của CPI để mô hình hóa thành phần xu hướng, mùa vụ, nhiễu.</t>
  </si>
  <si>
    <t>Có thể dự báo tốt khi CPI có tính chu kỳ.</t>
  </si>
  <si>
    <t>2.1.3 Mô hình hồi quy với biến trễ Distributed Lag Models</t>
  </si>
  <si>
    <t>mô tả tác động chậm (trễ) của các biến độc lập lên biến phụ thuộc ( vd tác động của giá dầu hay tỷ giá đến CPI có thể không diễn ra ngay lập tức mà lan tỏa dần trong vài tháng.)</t>
  </si>
  <si>
    <r>
      <rPr>
        <rFont val="Aptos Narrow"/>
        <color theme="1"/>
      </rPr>
      <t xml:space="preserve">Dự báo CPI từ các biến vĩ mô như </t>
    </r>
    <r>
      <rPr>
        <rFont val="Arial Unicode MS"/>
        <color theme="1"/>
        <sz val="10.0"/>
      </rPr>
      <t>oilpr</t>
    </r>
    <r>
      <rPr>
        <rFont val="Aptos Narrow"/>
        <color theme="1"/>
        <sz val="11.0"/>
      </rPr>
      <t xml:space="preserve">, </t>
    </r>
    <r>
      <rPr>
        <rFont val="Arial Unicode MS"/>
        <color theme="1"/>
        <sz val="10.0"/>
      </rPr>
      <t>fedfunds</t>
    </r>
    <r>
      <rPr>
        <rFont val="Aptos Narrow"/>
        <color theme="1"/>
        <sz val="11.0"/>
      </rPr>
      <t xml:space="preserve">, </t>
    </r>
    <r>
      <rPr>
        <rFont val="Arial Unicode MS"/>
        <color theme="1"/>
        <sz val="10.0"/>
      </rPr>
      <t>vndusd</t>
    </r>
    <r>
      <rPr>
        <rFont val="Aptos Narrow"/>
        <color theme="1"/>
        <sz val="11.0"/>
      </rPr>
      <t>, với độ trễ được chọn tối ưu.</t>
    </r>
  </si>
  <si>
    <t>2.1.4 Mô hình hồi quy Ridge</t>
  </si>
  <si>
    <t>mô hình hồi quy tuyến tính thông thường có thể gặp vấn đề đa cộng tuyến và overfitting. =&gt; dùng Ridge</t>
  </si>
  <si>
    <t>Phân tích đa biến có regularization, giảm nguy cơ overfitting.</t>
  </si>
  <si>
    <t>2.2 Các tiêu chuẩn đánh giá chất lượng dự báo</t>
  </si>
  <si>
    <t>MAE (Mean Absolute Error)</t>
  </si>
  <si>
    <t>Giá trị càng nhỏ → dự báo càng chính xác</t>
  </si>
  <si>
    <t>RMSE (Root Mean Squared Error)</t>
  </si>
  <si>
    <t>Giá trị nhỏ hơn → mô hình tốt hơn</t>
  </si>
  <si>
    <t>MAPE (Mean Absolute Percentage Error)</t>
  </si>
  <si>
    <t>nhạy cảm khi yt​ gần 0</t>
  </si>
  <si>
    <t>R-squared</t>
  </si>
  <si>
    <t>MAE: Trung bình sai số tuyệt đối</t>
  </si>
  <si>
    <t>RMSE: Căn bậc hai trung bình sai số bình phương</t>
  </si>
  <si>
    <t>Có thể chạy bằng các chỉ sô này R hoặc Py hoặc Stata</t>
  </si>
  <si>
    <t>MAPE: Phần trăm sai số tuyệt đối trung bình</t>
  </si>
  <si>
    <t>3. Số liệu &amp; Thống kê mô tả</t>
  </si>
  <si>
    <t>Bảng mô tả các biến (mean, std, min, max).</t>
  </si>
  <si>
    <t>Đồ thị chuỗi thời gian của CPI và các biến giải thích.</t>
  </si>
  <si>
    <r>
      <rPr>
        <rFont val="Aptos Narrow"/>
        <color theme="1"/>
      </rPr>
      <t xml:space="preserve">Tương quan giữa CPI và các yếu tố: </t>
    </r>
    <r>
      <rPr>
        <rFont val="Arial Unicode MS"/>
        <color theme="1"/>
        <sz val="10.0"/>
      </rPr>
      <t>oilpr</t>
    </r>
    <r>
      <rPr>
        <rFont val="Aptos Narrow"/>
        <color theme="1"/>
        <sz val="11.0"/>
      </rPr>
      <t xml:space="preserve">, </t>
    </r>
    <r>
      <rPr>
        <rFont val="Arial Unicode MS"/>
        <color theme="1"/>
        <sz val="10.0"/>
      </rPr>
      <t>vndusd</t>
    </r>
    <r>
      <rPr>
        <rFont val="Aptos Narrow"/>
        <color theme="1"/>
        <sz val="11.0"/>
      </rPr>
      <t xml:space="preserve">, </t>
    </r>
    <r>
      <rPr>
        <rFont val="Arial Unicode MS"/>
        <color theme="1"/>
        <sz val="10.0"/>
      </rPr>
      <t>fedfunds</t>
    </r>
    <r>
      <rPr>
        <rFont val="Aptos Narrow"/>
        <color theme="1"/>
        <sz val="11.0"/>
      </rPr>
      <t xml:space="preserve">, </t>
    </r>
    <r>
      <rPr>
        <rFont val="Arial Unicode MS"/>
        <color theme="1"/>
        <sz val="10.0"/>
      </rPr>
      <t>rate1m</t>
    </r>
    <r>
      <rPr>
        <rFont val="Aptos Narrow"/>
        <color theme="1"/>
        <sz val="11.0"/>
      </rPr>
      <t xml:space="preserve">, </t>
    </r>
    <r>
      <rPr>
        <rFont val="Arial Unicode MS"/>
        <color theme="1"/>
        <sz val="10.0"/>
      </rPr>
      <t>food</t>
    </r>
    <r>
      <rPr>
        <rFont val="Aptos Narrow"/>
        <color theme="1"/>
        <sz val="11.0"/>
      </rPr>
      <t xml:space="preserve">, </t>
    </r>
    <r>
      <rPr>
        <rFont val="Arial Unicode MS"/>
        <color theme="1"/>
        <sz val="10.0"/>
      </rPr>
      <t>hous</t>
    </r>
    <r>
      <rPr>
        <rFont val="Aptos Narrow"/>
        <color theme="1"/>
        <sz val="11.0"/>
      </rPr>
      <t>,…</t>
    </r>
  </si>
  <si>
    <r>
      <rPr>
        <rFont val="Aptos Narrow"/>
        <b/>
        <color theme="4"/>
        <sz val="11.0"/>
      </rPr>
      <t>4. Kết quả &amp; Phân tích:</t>
    </r>
    <r>
      <rPr>
        <rFont val="Aptos Narrow"/>
        <color theme="4"/>
        <sz val="11.0"/>
      </rPr>
      <t xml:space="preserve"> </t>
    </r>
    <r>
      <rPr>
        <rFont val="Aptos Narrow"/>
        <color theme="1"/>
        <sz val="11.0"/>
      </rPr>
      <t>Kết quả dự báo là giá trị CPI chứ không phải là dạng chuyển đổi logarithm hay sai phân.</t>
    </r>
  </si>
  <si>
    <t>4.1 Kết quả dự báo CPI năm 2023 theo từng mô hình</t>
  </si>
  <si>
    <t>Trình bày bảng và đồ thị dự báo CPI theo tháng.</t>
  </si>
  <si>
    <r>
      <rPr>
        <rFont val="Aptos Narrow"/>
        <color theme="1"/>
        <sz val="11.0"/>
      </rPr>
      <t>So sánh với dữ liệu thực tế năm 2023 (</t>
    </r>
    <r>
      <rPr>
        <rFont val="Arial Unicode MS"/>
        <color theme="1"/>
        <sz val="10.0"/>
      </rPr>
      <t>cpi_2023</t>
    </r>
    <r>
      <rPr>
        <rFont val="Aptos Narrow"/>
        <color theme="1"/>
        <sz val="11.0"/>
      </rPr>
      <t>) để tính MAE, RMSE,...</t>
    </r>
  </si>
  <si>
    <t xml:space="preserve">Bảng so sánh dự báo vs thực tế </t>
  </si>
  <si>
    <t>Biểu đồ xu hướng dự báo vs thực tế (line chart)</t>
  </si>
  <si>
    <t>4.2 Đánh giá độ chính xác của mô hình dự báo</t>
  </si>
  <si>
    <t>Mô hình</t>
  </si>
  <si>
    <t>MAE</t>
  </si>
  <si>
    <t>RMSE</t>
  </si>
  <si>
    <t>MAPE (%)</t>
  </si>
  <si>
    <t>Nhận xét (chạy mô hình rồi nhạn xét, ví dụ)</t>
  </si>
  <si>
    <t>ARIMA</t>
  </si>
  <si>
    <t>Dự báo tốt trong ngắn hạn, không linh hoạt với biến động bên ngoài</t>
  </si>
  <si>
    <t>Tất cả so với giá trị thực tế cpi_2023</t>
  </si>
  <si>
    <t>VAR</t>
  </si>
  <si>
    <t>Ổn định, tận dụng tốt thông tin từ các biến vĩ mô</t>
  </si>
  <si>
    <t>OLS</t>
  </si>
  <si>
    <t>Đơn giản, nhưng không phản ứng tốt với biến động</t>
  </si>
  <si>
    <t>Ridge</t>
  </si>
  <si>
    <t>Dự báo khá chính xác, tránh overfitting</t>
  </si>
  <si>
    <t>4.3 Nhận định tổng quan</t>
  </si>
  <si>
    <t>Mô hình nào cho kết quả tốt nhất (sai số thấp nhất), nhờ khai thác mối quan hệ giữa các biến kinh tế như oilpr, vndusd, fedfunds...</t>
  </si>
  <si>
    <t>Mô hình nào phù hợp khi dữ liệu có nhiều biến đầu vào.</t>
  </si>
  <si>
    <t>mh nào phù hợp với xu hướng ổn định nhưng kém khi có cú sốc kinh tế.</t>
  </si>
  <si>
    <t>mh nào dễ hiểu nhưng độ chính xác thấp hơn.</t>
  </si>
  <si>
    <t>=&gt; Xác định mô hình tốt nhất theo tiêu chuẩn đánh giá.</t>
  </si>
  <si>
    <t>5. Kết luận</t>
  </si>
  <si>
    <t>Mô hình nào dự báo tốt nhất? Vì sao?</t>
  </si>
  <si>
    <t>Khuyến nghị cho việc sử dụng mô hình trong thực tế.</t>
  </si>
  <si>
    <t>Chỉ số CPI đã dự báo trong năm 2023 như thế nào?</t>
  </si>
  <si>
    <t xml:space="preserve">CPI tổng thể chịu ảnh hưởng từ nhiều yếu tố bên ngoài và nội tại trong nền kinh tế. </t>
  </si>
  <si>
    <t>Các yếu tố vĩ mô như lạm phát của Hoa Kỳ (CPIUS), giá dầu (oil price), lãi suất điều hành của Fed (fedfunds), và chỉ số tỷ giá hiệu lực danh nghĩa/thực (NEER/REER). Các biến này phản ánh tác động từ môi trường kinh tế quốc tế lên giá cả trong nước.</t>
  </si>
  <si>
    <t>Các chỉ số như chỉ số bất động sản (igrea), lãi suất VND ở các kỳ hạn khác nhau (rate1m, rate3m, rate6m, rateovn), và tỷ giá VND/USD. Thể hiện tác động từ chính sách tiền tệ và điều kiện tài chính nội địa lên lạm phát.</t>
  </si>
  <si>
    <t>Phân tích mối tương quan giúp xác định nhóm nào có ảnh hưởng mạnh nhất đến CPI tổng thể, từ đó hỗ trợ các quyết định, cũng như lựa chọn giải pháp dự báo phù hợp</t>
  </si>
  <si>
    <t>Hệ số tương quan giữa các biến ngoại sinh và CPI</t>
  </si>
  <si>
    <t>Biến</t>
  </si>
  <si>
    <t>CPI trong nước có tương quan rất mạnh với CPIUS (0.958) và tỷ giá thực lreer (0.960), cho thấy ảnh hưởng đáng kể của yếu tố toàn cầu và tỷ giá đến lạm phát nội địa.</t>
  </si>
  <si>
    <t>Tỷ giá danh nghĩa (lneer) có tương quan âm mạnh với CPI (-0.852), hàm ý rằng khi đồng nội tệ tăng giá (NEER tăng), áp lực lạm phát trong nước giảm.</t>
  </si>
  <si>
    <t>Giá dầu (oilpr) và lãi suất Fed (fedfunds) có tương quan yếu đến trung bình với CPI, ảnh hưởng gián tiếp thông qua nhiều kênh trung gian.</t>
  </si>
  <si>
    <t>Hệ số tương quan giữa các biến nội sinh và CPI</t>
  </si>
  <si>
    <t>CPI Việt Nam có:</t>
  </si>
  <si>
    <t>Tương quan rất mạnh và dương với tỷ giá USD/VND (vndusd, 0.989) → Khi VND mất giá so với USD, lạm phát có xu hướng tăng.</t>
  </si>
  <si>
    <t>Tương quan âm trung bình với lãi suất ngắn hạn (rate1m, rate3m, rate6m, rateovn) và Lãi suất trái phiếu chính phủ Việt Nam (igrea) → Điều kiện tài chính chặt chẽ hơn (lãi suất cao hơn) giúp kiểm soát CPI.</t>
  </si>
  <si>
    <t>Các lãi suất có tương quan nội nhóm rất cao với nhau (trên 0.97), phản ánh đồng pha trong chính sách tiền tệ.</t>
  </si>
  <si>
    <t>Biểu đồ phân tán giữa nhóm CPI hàng hóa và CPI tổng thể</t>
  </si>
  <si>
    <t>Các điểm phân bố gần như thành một đường thẳng đi lên → khi CPI hàng hóa tăng, CPI tổng thể cũng tăng.</t>
  </si>
  <si>
    <t>Kiểm định tính dừng mô hình hồi quy</t>
  </si>
  <si>
    <t>Biểu đồ phân tán giữa nhóm CPI dịch vụ và CPI tổng thể</t>
  </si>
  <si>
    <t>Nhà ở, y tế, giáo dục là các chỉ số thiết yếu, chiếm tỷ trọng cao trong rổ tính CPI. Khi giá dịch vụ trong các ngành này biến động, sẽ kéo theo CPI tổng thể thay đổi rõ rệt.</t>
  </si>
  <si>
    <t xml:space="preserve">Ridge CPI </t>
  </si>
  <si>
    <t>Real CPI</t>
  </si>
  <si>
    <t>Tỉ lệ chênh lệch</t>
  </si>
  <si>
    <t>Best alpha: 0.030538555088334186</t>
  </si>
  <si>
    <t>2023 Forecast Metrics:</t>
  </si>
  <si>
    <t>MAE: 0.396503</t>
  </si>
  <si>
    <t>RMSE: 0.396503</t>
  </si>
  <si>
    <t>MAPE: 0.360457%</t>
  </si>
  <si>
    <t>R-squared: 0.000000</t>
  </si>
  <si>
    <t xml:space="preserve">Var CPI </t>
  </si>
  <si>
    <t>Validation Metrics (2023):</t>
  </si>
  <si>
    <t>MAE: 0.760865</t>
  </si>
  <si>
    <t>RMSE: 0.908432</t>
  </si>
  <si>
    <t>MAPE: 0.676461%</t>
  </si>
  <si>
    <t>R-squared: 0.560467</t>
  </si>
  <si>
    <t>ADF Statistic: -0.47764686025494907</t>
  </si>
  <si>
    <t>p-value: 0.8963052429662396</t>
  </si>
  <si>
    <t xml:space="preserve">ARIMA CPI </t>
  </si>
  <si>
    <t>Dữ liệu không stationary, thực hiện differencing.</t>
  </si>
  <si>
    <t>ADF Statistic after differencing: -8.412338401869766</t>
  </si>
  <si>
    <t>p-value after differencing: 2.087506959318567e-13</t>
  </si>
  <si>
    <t>Dữ liệu đã trở nên stationary sau khi differencing.</t>
  </si>
  <si>
    <t>MAE: 0.848812</t>
  </si>
  <si>
    <t>RMSE: 1.042408</t>
  </si>
  <si>
    <t>MAPE: 0.753844%</t>
  </si>
  <si>
    <t>R-squared: 0.421262</t>
  </si>
  <si>
    <t xml:space="preserve">DLM CPI </t>
  </si>
  <si>
    <t>MAE: 0.210625</t>
  </si>
  <si>
    <t>RMSE: 0.210625</t>
  </si>
  <si>
    <t>MAPE: 0.191478%</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</si>
</sst>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000"/>
    <numFmt numFmtId="165" formatCode="_-* #,##0_-;\-* #,##0_-;_-* &quot;-&quot;??_-;_-@"/>
    <numFmt numFmtId="166" formatCode="_-* #,##0.000_-;\-* #,##0.000_-;_-* &quot;-&quot;??_-;_-@"/>
    <numFmt numFmtId="167" formatCode="_-* #,##0.00_-;\-* #,##0.00_-;_-* &quot;-&quot;??_-;_-@"/>
    <numFmt numFmtId="168" formatCode="_-* #,##0.0_-;\-* #,##0.0_-;_-* &quot;-&quot;??_-;_-@"/>
    <numFmt numFmtId="169" formatCode="0.0%"/>
  </numFmts>
  <fonts count="13">
    <font>
      <sz val="11.0"/>
      <color theme="1"/>
      <name val="Aptos Narrow"/>
      <scheme val="minor"/>
    </font>
    <font>
      <color theme="1"/>
      <name val="Aptos Narrow"/>
      <scheme val="minor"/>
    </font>
    <font>
      <sz val="11.0"/>
      <color theme="1"/>
      <name val="Aptos Narrow"/>
    </font>
    <font>
      <b/>
      <sz val="11.0"/>
      <color theme="1"/>
      <name val="Aptos Narrow"/>
    </font>
    <font>
      <b/>
      <sz val="10.0"/>
      <color rgb="FFFF0000"/>
      <name val="Arial"/>
    </font>
    <font>
      <sz val="11.0"/>
      <color rgb="FFC00000"/>
      <name val="Aptos Narrow"/>
    </font>
    <font>
      <b/>
      <sz val="11.0"/>
      <color theme="4"/>
      <name val="Aptos Narrow"/>
    </font>
    <font>
      <sz val="11.0"/>
      <color theme="4"/>
      <name val="Aptos Narrow"/>
    </font>
    <font>
      <i/>
      <sz val="11.0"/>
      <color theme="1"/>
      <name val="Aptos Narrow"/>
    </font>
    <font>
      <sz val="12.0"/>
      <color theme="1"/>
      <name val="Times New Roman"/>
    </font>
    <font>
      <b/>
      <sz val="12.0"/>
      <color theme="1"/>
      <name val="Times New Roman"/>
    </font>
    <font>
      <b/>
      <sz val="11.0"/>
      <color theme="0"/>
      <name val="Aptos Narrow"/>
    </font>
    <font>
      <sz val="11.0"/>
      <color rgb="FF000000"/>
      <name val="Courier New"/>
    </font>
  </fonts>
  <fills count="3">
    <fill>
      <patternFill patternType="none"/>
    </fill>
    <fill>
      <patternFill patternType="lightGray"/>
    </fill>
    <fill>
      <patternFill patternType="solid">
        <fgColor rgb="FF7F7F7F"/>
        <bgColor rgb="FF7F7F7F"/>
      </patternFill>
    </fill>
  </fills>
  <borders count="3">
    <border/>
    <border>
      <left style="thin">
        <color rgb="FF000000"/>
      </lef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Font="1"/>
    <xf borderId="0" fillId="0" fontId="2" numFmtId="14" xfId="0" applyFont="1" applyNumberFormat="1"/>
    <xf borderId="0" fillId="0" fontId="2" numFmtId="164" xfId="0" applyFont="1" applyNumberFormat="1"/>
    <xf borderId="0" fillId="0" fontId="3" numFmtId="0" xfId="0" applyFont="1"/>
    <xf borderId="0" fillId="0" fontId="4" numFmtId="0" xfId="0" applyFont="1"/>
    <xf borderId="0" fillId="0" fontId="5" numFmtId="0" xfId="0" applyFont="1"/>
    <xf borderId="1" fillId="0" fontId="5" numFmtId="0" xfId="0" applyBorder="1" applyFont="1"/>
    <xf borderId="0" fillId="0" fontId="6" numFmtId="0" xfId="0" applyFont="1"/>
    <xf borderId="1" fillId="0" fontId="2" numFmtId="0" xfId="0" applyBorder="1" applyFont="1"/>
    <xf borderId="0" fillId="0" fontId="7" numFmtId="0" xfId="0" applyFont="1"/>
    <xf borderId="0" fillId="0" fontId="8" numFmtId="0" xfId="0" applyFont="1"/>
    <xf borderId="0" fillId="0" fontId="2" numFmtId="0" xfId="0" applyFont="1"/>
    <xf borderId="0" fillId="0" fontId="2" numFmtId="0" xfId="0" applyAlignment="1" applyFont="1">
      <alignment horizontal="left"/>
    </xf>
    <xf quotePrefix="1" borderId="0" fillId="0" fontId="3" numFmtId="0" xfId="0" applyFont="1"/>
    <xf borderId="0" fillId="0" fontId="9" numFmtId="0" xfId="0" applyFont="1"/>
    <xf borderId="2" fillId="0" fontId="10" numFmtId="0" xfId="0" applyAlignment="1" applyBorder="1" applyFont="1">
      <alignment horizontal="center" shrinkToFit="0" vertical="center" wrapText="1"/>
    </xf>
    <xf borderId="2" fillId="0" fontId="10" numFmtId="0" xfId="0" applyAlignment="1" applyBorder="1" applyFont="1">
      <alignment shrinkToFit="0" vertical="center" wrapText="1"/>
    </xf>
    <xf borderId="2" fillId="0" fontId="9" numFmtId="165" xfId="0" applyAlignment="1" applyBorder="1" applyFont="1" applyNumberFormat="1">
      <alignment shrinkToFit="0" vertical="center" wrapText="1"/>
    </xf>
    <xf borderId="2" fillId="0" fontId="9" numFmtId="166" xfId="0" applyAlignment="1" applyBorder="1" applyFont="1" applyNumberFormat="1">
      <alignment shrinkToFit="0" vertical="center" wrapText="1"/>
    </xf>
    <xf borderId="0" fillId="0" fontId="3" numFmtId="0" xfId="0" applyAlignment="1" applyFont="1">
      <alignment shrinkToFit="0" vertical="center" wrapText="1"/>
    </xf>
    <xf borderId="0" fillId="0" fontId="2" numFmtId="167" xfId="0" applyAlignment="1" applyFont="1" applyNumberFormat="1">
      <alignment shrinkToFit="0" vertical="center" wrapText="1"/>
    </xf>
    <xf borderId="2" fillId="0" fontId="9" numFmtId="0" xfId="0" applyAlignment="1" applyBorder="1" applyFont="1">
      <alignment shrinkToFit="0" vertical="center" wrapText="1"/>
    </xf>
    <xf borderId="0" fillId="0" fontId="2" numFmtId="2" xfId="0" applyAlignment="1" applyFont="1" applyNumberFormat="1">
      <alignment shrinkToFit="0" vertical="center" wrapText="1"/>
    </xf>
    <xf borderId="0" fillId="0" fontId="9" numFmtId="0" xfId="0" applyAlignment="1" applyFont="1">
      <alignment horizontal="left" vertical="center"/>
    </xf>
    <xf borderId="0" fillId="0" fontId="2" numFmtId="0" xfId="0" applyAlignment="1" applyFont="1">
      <alignment horizontal="left" vertical="center"/>
    </xf>
    <xf borderId="2" fillId="2" fontId="11" numFmtId="0" xfId="0" applyBorder="1" applyFill="1" applyFont="1"/>
    <xf borderId="2" fillId="0" fontId="3" numFmtId="0" xfId="0" applyBorder="1" applyFont="1"/>
    <xf borderId="2" fillId="0" fontId="2" numFmtId="168" xfId="0" applyBorder="1" applyFont="1" applyNumberFormat="1"/>
    <xf borderId="2" fillId="0" fontId="2" numFmtId="169" xfId="0" applyBorder="1" applyFont="1" applyNumberFormat="1"/>
    <xf borderId="0" fillId="0" fontId="12" numFmtId="0" xfId="0" applyAlignment="1" applyFont="1">
      <alignment horizontal="left" vertical="center"/>
    </xf>
    <xf borderId="2" fillId="0" fontId="2" numFmtId="168" xfId="0" applyAlignment="1" applyBorder="1" applyFont="1" applyNumberFormat="1">
      <alignment shrinkToFit="0" vertical="center" wrapText="1"/>
    </xf>
    <xf borderId="0" fillId="0" fontId="3" numFmtId="0" xfId="0" applyAlignment="1" applyFont="1">
      <alignment horizontal="center" shrinkToFit="0" vertical="center" wrapText="1"/>
    </xf>
    <xf borderId="0" fillId="0" fontId="2" numFmtId="14" xfId="0" applyAlignment="1" applyFont="1" applyNumberFormat="1">
      <alignment shrinkToFit="0" vertical="center" wrapText="1"/>
    </xf>
    <xf borderId="0" fillId="0" fontId="2"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200">
                <a:solidFill>
                  <a:srgbClr val="757575"/>
                </a:solidFill>
                <a:latin typeface="Times New Roman"/>
              </a:defRPr>
            </a:pPr>
            <a:r>
              <a:rPr b="1" i="0" sz="1200">
                <a:solidFill>
                  <a:srgbClr val="757575"/>
                </a:solidFill>
                <a:latin typeface="Times New Roman"/>
              </a:rPr>
              <a:t>Tương quan giữa CPI hàng hóa và CPI tổng thể</a:t>
            </a:r>
          </a:p>
        </c:rich>
      </c:tx>
      <c:overlay val="0"/>
    </c:title>
    <c:plotArea>
      <c:layout/>
      <c:scatterChart>
        <c:scatterStyle val="lineMarker"/>
        <c:varyColors val="0"/>
        <c:ser>
          <c:idx val="0"/>
          <c:order val="0"/>
          <c:tx>
            <c:v>clot</c:v>
          </c:tx>
          <c:spPr>
            <a:ln>
              <a:noFill/>
            </a:ln>
          </c:spPr>
          <c:marker>
            <c:symbol val="circle"/>
            <c:size val="7"/>
            <c:spPr>
              <a:solidFill>
                <a:schemeClr val="accent1"/>
              </a:solidFill>
              <a:ln cmpd="sng">
                <a:solidFill>
                  <a:schemeClr val="accent1"/>
                </a:solidFill>
              </a:ln>
            </c:spPr>
          </c:marker>
          <c:xVal>
            <c:numRef>
              <c:f>DATASET!$P$2:$P$277</c:f>
            </c:numRef>
          </c:xVal>
          <c:yVal>
            <c:numRef>
              <c:f>DATASET!$N$2:$N$277</c:f>
              <c:numCache/>
            </c:numRef>
          </c:yVal>
        </c:ser>
        <c:dLbls>
          <c:showLegendKey val="0"/>
          <c:showVal val="0"/>
          <c:showCatName val="0"/>
          <c:showSerName val="0"/>
          <c:showPercent val="0"/>
          <c:showBubbleSize val="0"/>
        </c:dLbls>
        <c:axId val="29315548"/>
        <c:axId val="1658479882"/>
      </c:scatterChart>
      <c:valAx>
        <c:axId val="29315548"/>
        <c:scaling>
          <c:orientation val="minMax"/>
          <c:min val="20.0"/>
        </c:scaling>
        <c:delete val="0"/>
        <c:axPos val="b"/>
        <c:majorGridlines>
          <c:spPr>
            <a:ln>
              <a:solidFill>
                <a:srgbClr val="B7B7B7"/>
              </a:solidFill>
            </a:ln>
          </c:spPr>
        </c:majorGridlines>
        <c:title>
          <c:tx>
            <c:rich>
              <a:bodyPr/>
              <a:lstStyle/>
              <a:p>
                <a:pPr lvl="0">
                  <a:defRPr b="0" i="0" sz="800">
                    <a:solidFill>
                      <a:srgbClr val="000000"/>
                    </a:solidFill>
                    <a:latin typeface="Times New Roman"/>
                  </a:defRPr>
                </a:pPr>
                <a:r>
                  <a:rPr b="0" i="0" sz="800">
                    <a:solidFill>
                      <a:srgbClr val="000000"/>
                    </a:solidFill>
                    <a:latin typeface="Times New Roman"/>
                  </a:rPr>
                  <a:t>CPI nhóm hàng hóa</a:t>
                </a:r>
              </a:p>
            </c:rich>
          </c:tx>
          <c:overlay val="0"/>
        </c:title>
        <c:numFmt formatCode="General" sourceLinked="1"/>
        <c:majorTickMark val="none"/>
        <c:minorTickMark val="none"/>
        <c:tickLblPos val="nextTo"/>
        <c:spPr>
          <a:ln/>
        </c:spPr>
        <c:txPr>
          <a:bodyPr/>
          <a:lstStyle/>
          <a:p>
            <a:pPr lvl="0">
              <a:defRPr b="0" i="0" sz="800">
                <a:solidFill>
                  <a:srgbClr val="000000"/>
                </a:solidFill>
                <a:latin typeface="Times New Roman"/>
              </a:defRPr>
            </a:pPr>
          </a:p>
        </c:txPr>
        <c:crossAx val="1658479882"/>
      </c:valAx>
      <c:valAx>
        <c:axId val="1658479882"/>
        <c:scaling>
          <c:orientation val="minMax"/>
          <c:min val="20.0"/>
        </c:scaling>
        <c:delete val="0"/>
        <c:axPos val="l"/>
        <c:majorGridlines>
          <c:spPr>
            <a:ln>
              <a:solidFill>
                <a:srgbClr val="B7B7B7"/>
              </a:solidFill>
            </a:ln>
          </c:spPr>
        </c:majorGridlines>
        <c:title>
          <c:tx>
            <c:rich>
              <a:bodyPr/>
              <a:lstStyle/>
              <a:p>
                <a:pPr lvl="0">
                  <a:defRPr b="0" i="0" sz="800">
                    <a:solidFill>
                      <a:srgbClr val="000000"/>
                    </a:solidFill>
                    <a:latin typeface="Times New Roman"/>
                  </a:defRPr>
                </a:pPr>
                <a:r>
                  <a:rPr b="0" i="0" sz="800">
                    <a:solidFill>
                      <a:srgbClr val="000000"/>
                    </a:solidFill>
                    <a:latin typeface="Times New Roman"/>
                  </a:rPr>
                  <a:t>CPI</a:t>
                </a:r>
              </a:p>
            </c:rich>
          </c:tx>
          <c:overlay val="0"/>
        </c:title>
        <c:numFmt formatCode="General" sourceLinked="1"/>
        <c:majorTickMark val="none"/>
        <c:minorTickMark val="none"/>
        <c:tickLblPos val="nextTo"/>
        <c:spPr>
          <a:ln/>
        </c:spPr>
        <c:txPr>
          <a:bodyPr/>
          <a:lstStyle/>
          <a:p>
            <a:pPr lvl="0">
              <a:defRPr b="0" i="0" sz="800">
                <a:solidFill>
                  <a:srgbClr val="000000"/>
                </a:solidFill>
                <a:latin typeface="Times New Roman"/>
              </a:defRPr>
            </a:pPr>
          </a:p>
        </c:txPr>
        <c:crossAx val="29315548"/>
      </c:valAx>
    </c:plotArea>
    <c:legend>
      <c:legendPos val="t"/>
      <c:overlay val="0"/>
      <c:txPr>
        <a:bodyPr/>
        <a:lstStyle/>
        <a:p>
          <a:pPr lvl="0">
            <a:defRPr b="0" i="0" sz="1000">
              <a:solidFill>
                <a:srgbClr val="1A1A1A"/>
              </a:solidFill>
              <a:latin typeface="Times New Roman"/>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200">
                <a:solidFill>
                  <a:srgbClr val="757575"/>
                </a:solidFill>
                <a:latin typeface="Times New Roman"/>
              </a:defRPr>
            </a:pPr>
            <a:r>
              <a:rPr b="1" i="0" sz="1200">
                <a:solidFill>
                  <a:srgbClr val="757575"/>
                </a:solidFill>
                <a:latin typeface="Times New Roman"/>
              </a:rPr>
              <a:t>Tương quan giữa CPI dịch vụ và CPI tổng thể</a:t>
            </a:r>
          </a:p>
        </c:rich>
      </c:tx>
      <c:overlay val="0"/>
    </c:title>
    <c:plotArea>
      <c:layout/>
      <c:scatterChart>
        <c:scatterStyle val="lineMarker"/>
        <c:varyColors val="0"/>
        <c:ser>
          <c:idx val="0"/>
          <c:order val="0"/>
          <c:tx>
            <c:v>recr</c:v>
          </c:tx>
          <c:spPr>
            <a:ln>
              <a:noFill/>
            </a:ln>
          </c:spPr>
          <c:marker>
            <c:symbol val="circle"/>
            <c:size val="7"/>
            <c:spPr>
              <a:solidFill>
                <a:schemeClr val="accent6"/>
              </a:solidFill>
              <a:ln cmpd="sng">
                <a:solidFill>
                  <a:schemeClr val="accent6"/>
                </a:solidFill>
              </a:ln>
            </c:spPr>
          </c:marker>
          <c:xVal>
            <c:numRef>
              <c:f>DATASET!$W$2:$W$277</c:f>
            </c:numRef>
          </c:xVal>
          <c:yVal>
            <c:numRef>
              <c:f>DATASET!$N$2:$N$277</c:f>
              <c:numCache/>
            </c:numRef>
          </c:yVal>
        </c:ser>
        <c:dLbls>
          <c:showLegendKey val="0"/>
          <c:showVal val="0"/>
          <c:showCatName val="0"/>
          <c:showSerName val="0"/>
          <c:showPercent val="0"/>
          <c:showBubbleSize val="0"/>
        </c:dLbls>
        <c:axId val="1646271744"/>
        <c:axId val="1367013718"/>
      </c:scatterChart>
      <c:valAx>
        <c:axId val="1646271744"/>
        <c:scaling>
          <c:orientation val="minMax"/>
          <c:min val="10.0"/>
        </c:scaling>
        <c:delete val="0"/>
        <c:axPos val="b"/>
        <c:title>
          <c:tx>
            <c:rich>
              <a:bodyPr/>
              <a:lstStyle/>
              <a:p>
                <a:pPr lvl="0">
                  <a:defRPr b="0" i="0" sz="800">
                    <a:solidFill>
                      <a:srgbClr val="000000"/>
                    </a:solidFill>
                    <a:latin typeface="Times New Roman"/>
                  </a:defRPr>
                </a:pPr>
                <a:r>
                  <a:rPr b="0" i="0" sz="800">
                    <a:solidFill>
                      <a:srgbClr val="000000"/>
                    </a:solidFill>
                    <a:latin typeface="Times New Roman"/>
                  </a:rPr>
                  <a:t>CPI nhóm dịch vụ</a:t>
                </a:r>
              </a:p>
            </c:rich>
          </c:tx>
          <c:overlay val="0"/>
        </c:title>
        <c:numFmt formatCode="General" sourceLinked="1"/>
        <c:majorTickMark val="none"/>
        <c:minorTickMark val="none"/>
        <c:tickLblPos val="nextTo"/>
        <c:spPr>
          <a:ln/>
        </c:spPr>
        <c:txPr>
          <a:bodyPr/>
          <a:lstStyle/>
          <a:p>
            <a:pPr lvl="0">
              <a:defRPr b="0" i="0" sz="800">
                <a:solidFill>
                  <a:srgbClr val="000000"/>
                </a:solidFill>
                <a:latin typeface="Times New Roman"/>
              </a:defRPr>
            </a:pPr>
          </a:p>
        </c:txPr>
        <c:crossAx val="1367013718"/>
      </c:valAx>
      <c:valAx>
        <c:axId val="1367013718"/>
        <c:scaling>
          <c:orientation val="minMax"/>
          <c:min val="10.0"/>
        </c:scaling>
        <c:delete val="0"/>
        <c:axPos val="l"/>
        <c:majorGridlines>
          <c:spPr>
            <a:ln>
              <a:solidFill>
                <a:srgbClr val="B7B7B7"/>
              </a:solidFill>
            </a:ln>
          </c:spPr>
        </c:majorGridlines>
        <c:title>
          <c:tx>
            <c:rich>
              <a:bodyPr/>
              <a:lstStyle/>
              <a:p>
                <a:pPr lvl="0">
                  <a:defRPr b="0" i="0" sz="800">
                    <a:solidFill>
                      <a:srgbClr val="000000"/>
                    </a:solidFill>
                    <a:latin typeface="Times New Roman"/>
                  </a:defRPr>
                </a:pPr>
                <a:r>
                  <a:rPr b="0" i="0" sz="800">
                    <a:solidFill>
                      <a:srgbClr val="000000"/>
                    </a:solidFill>
                    <a:latin typeface="Times New Roman"/>
                  </a:rPr>
                  <a:t>CPI</a:t>
                </a:r>
              </a:p>
            </c:rich>
          </c:tx>
          <c:overlay val="0"/>
        </c:title>
        <c:numFmt formatCode="General" sourceLinked="1"/>
        <c:majorTickMark val="none"/>
        <c:minorTickMark val="none"/>
        <c:tickLblPos val="nextTo"/>
        <c:spPr>
          <a:ln/>
        </c:spPr>
        <c:txPr>
          <a:bodyPr/>
          <a:lstStyle/>
          <a:p>
            <a:pPr lvl="0">
              <a:defRPr b="0" i="0" sz="800">
                <a:solidFill>
                  <a:srgbClr val="000000"/>
                </a:solidFill>
                <a:latin typeface="Times New Roman"/>
              </a:defRPr>
            </a:pPr>
          </a:p>
        </c:txPr>
        <c:crossAx val="1646271744"/>
      </c:valAx>
    </c:plotArea>
    <c:legend>
      <c:legendPos val="t"/>
      <c:overlay val="0"/>
      <c:txPr>
        <a:bodyPr/>
        <a:lstStyle/>
        <a:p>
          <a:pPr lvl="0">
            <a:defRPr b="0" i="0" sz="1000">
              <a:solidFill>
                <a:srgbClr val="1A1A1A"/>
              </a:solidFill>
              <a:latin typeface="Times New Roman"/>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000000"/>
                </a:solidFill>
                <a:latin typeface="Times New Roman"/>
              </a:defRPr>
            </a:pPr>
            <a:r>
              <a:rPr b="1" i="0" sz="1400">
                <a:solidFill>
                  <a:srgbClr val="000000"/>
                </a:solidFill>
                <a:latin typeface="Times New Roman"/>
              </a:rPr>
              <a:t>DỰ BÁO CPI NĂM 2023 - RIDGE MODEL</a:t>
            </a:r>
          </a:p>
        </c:rich>
      </c:tx>
      <c:overlay val="0"/>
    </c:title>
    <c:plotArea>
      <c:layout/>
      <c:lineChart>
        <c:ser>
          <c:idx val="0"/>
          <c:order val="0"/>
          <c:tx>
            <c:v>Ridge CPI </c:v>
          </c:tx>
          <c:spPr>
            <a:ln cmpd="sng" w="38100">
              <a:solidFill>
                <a:schemeClr val="accent1"/>
              </a:solidFill>
            </a:ln>
          </c:spPr>
          <c:marker>
            <c:symbol val="none"/>
          </c:marker>
          <c:cat>
            <c:strRef>
              <c:f>Forecast!$A$2:$A$13</c:f>
            </c:strRef>
          </c:cat>
          <c:val>
            <c:numRef>
              <c:f>Forecast!$B$2:$B$13</c:f>
              <c:numCache/>
            </c:numRef>
          </c:val>
          <c:smooth val="0"/>
        </c:ser>
        <c:ser>
          <c:idx val="1"/>
          <c:order val="1"/>
          <c:tx>
            <c:v>Real CPI</c:v>
          </c:tx>
          <c:spPr>
            <a:ln cmpd="sng" w="38100">
              <a:solidFill>
                <a:schemeClr val="accent2"/>
              </a:solidFill>
            </a:ln>
          </c:spPr>
          <c:marker>
            <c:symbol val="none"/>
          </c:marker>
          <c:dLbls>
            <c:numFmt formatCode="General" sourceLinked="1"/>
            <c:txPr>
              <a:bodyPr/>
              <a:lstStyle/>
              <a:p>
                <a:pPr lvl="0">
                  <a:defRPr b="0" i="0" sz="800">
                    <a:solidFill>
                      <a:srgbClr val="E97132"/>
                    </a:solidFill>
                    <a:latin typeface="Times New Roman"/>
                  </a:defRPr>
                </a:pPr>
              </a:p>
            </c:txPr>
            <c:showLegendKey val="0"/>
            <c:showVal val="1"/>
            <c:showCatName val="0"/>
            <c:showSerName val="0"/>
            <c:showPercent val="0"/>
            <c:showBubbleSize val="0"/>
          </c:dLbls>
          <c:cat>
            <c:strRef>
              <c:f>Forecast!$A$2:$A$13</c:f>
            </c:strRef>
          </c:cat>
          <c:val>
            <c:numRef>
              <c:f>Forecast!$C$2:$C$13</c:f>
              <c:numCache/>
            </c:numRef>
          </c:val>
          <c:smooth val="0"/>
        </c:ser>
        <c:axId val="1929547385"/>
        <c:axId val="153886030"/>
      </c:lineChart>
      <c:catAx>
        <c:axId val="1929547385"/>
        <c:scaling>
          <c:orientation val="minMax"/>
        </c:scaling>
        <c:delete val="0"/>
        <c:axPos val="b"/>
        <c:title>
          <c:tx>
            <c:rich>
              <a:bodyPr/>
              <a:lstStyle/>
              <a:p>
                <a:pPr lvl="0">
                  <a:defRPr b="0" i="0" sz="1200">
                    <a:solidFill>
                      <a:srgbClr val="000000"/>
                    </a:solidFill>
                    <a:latin typeface="Times New Roman"/>
                  </a:defRPr>
                </a:pPr>
                <a:r>
                  <a:rPr b="0" i="0" sz="1200">
                    <a:solidFill>
                      <a:srgbClr val="000000"/>
                    </a:solidFill>
                    <a:latin typeface="Times New Roman"/>
                  </a:rPr>
                  <a:t>datem</a:t>
                </a:r>
              </a:p>
            </c:rich>
          </c:tx>
          <c:overlay val="0"/>
        </c:title>
        <c:numFmt formatCode="General" sourceLinked="1"/>
        <c:majorTickMark val="none"/>
        <c:minorTickMark val="none"/>
        <c:spPr/>
        <c:txPr>
          <a:bodyPr/>
          <a:lstStyle/>
          <a:p>
            <a:pPr lvl="0">
              <a:defRPr b="0" i="0" sz="800">
                <a:solidFill>
                  <a:srgbClr val="000000"/>
                </a:solidFill>
                <a:latin typeface="Times New Roman"/>
              </a:defRPr>
            </a:pPr>
          </a:p>
        </c:txPr>
        <c:crossAx val="153886030"/>
      </c:catAx>
      <c:valAx>
        <c:axId val="153886030"/>
        <c:scaling>
          <c:orientation val="minMax"/>
        </c:scaling>
        <c:delete val="0"/>
        <c:axPos val="l"/>
        <c:title>
          <c:tx>
            <c:rich>
              <a:bodyPr/>
              <a:lstStyle/>
              <a:p>
                <a:pPr lvl="0">
                  <a:defRPr b="0" i="0" sz="800">
                    <a:solidFill>
                      <a:srgbClr val="000000"/>
                    </a:solidFill>
                    <a:latin typeface="Times New Roman"/>
                  </a:defRPr>
                </a:pPr>
                <a:r>
                  <a:rPr b="0" i="0" sz="800">
                    <a:solidFill>
                      <a:srgbClr val="000000"/>
                    </a:solidFill>
                    <a:latin typeface="Times New Roman"/>
                  </a:rPr>
                  <a:t>CPI</a:t>
                </a:r>
              </a:p>
            </c:rich>
          </c:tx>
          <c:overlay val="0"/>
        </c:title>
        <c:numFmt formatCode="#,##0" sourceLinked="0"/>
        <c:majorTickMark val="out"/>
        <c:minorTickMark val="none"/>
        <c:tickLblPos val="nextTo"/>
        <c:spPr>
          <a:ln/>
        </c:spPr>
        <c:txPr>
          <a:bodyPr/>
          <a:lstStyle/>
          <a:p>
            <a:pPr lvl="0">
              <a:defRPr b="0" i="0" sz="800">
                <a:solidFill>
                  <a:srgbClr val="000000"/>
                </a:solidFill>
                <a:latin typeface="Times New Roman"/>
              </a:defRPr>
            </a:pPr>
          </a:p>
        </c:txPr>
        <c:crossAx val="1929547385"/>
      </c:valAx>
    </c:plotArea>
    <c:legend>
      <c:legendPos val="t"/>
      <c:overlay val="0"/>
      <c:txPr>
        <a:bodyPr/>
        <a:lstStyle/>
        <a:p>
          <a:pPr lvl="0">
            <a:defRPr b="0" i="0" sz="1000">
              <a:solidFill>
                <a:srgbClr val="1A1A1A"/>
              </a:solidFill>
              <a:latin typeface="Times New Roman"/>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000000"/>
                </a:solidFill>
                <a:latin typeface="Times New Roman"/>
              </a:defRPr>
            </a:pPr>
            <a:r>
              <a:rPr b="1" i="0" sz="1400">
                <a:solidFill>
                  <a:srgbClr val="000000"/>
                </a:solidFill>
                <a:latin typeface="Times New Roman"/>
              </a:rPr>
              <a:t>DỰ BÁO CPI NĂM 2023 - VAR MODEL</a:t>
            </a:r>
          </a:p>
        </c:rich>
      </c:tx>
      <c:overlay val="0"/>
    </c:title>
    <c:plotArea>
      <c:layout/>
      <c:lineChart>
        <c:ser>
          <c:idx val="0"/>
          <c:order val="0"/>
          <c:tx>
            <c:v>Var CPI </c:v>
          </c:tx>
          <c:spPr>
            <a:ln cmpd="sng" w="28575">
              <a:solidFill>
                <a:schemeClr val="accent1"/>
              </a:solidFill>
            </a:ln>
          </c:spPr>
          <c:marker>
            <c:symbol val="none"/>
          </c:marker>
          <c:dLbls>
            <c:numFmt formatCode="General" sourceLinked="1"/>
            <c:txPr>
              <a:bodyPr/>
              <a:lstStyle/>
              <a:p>
                <a:pPr lvl="0">
                  <a:defRPr b="0" i="0" sz="800">
                    <a:solidFill>
                      <a:srgbClr val="0F9ED5"/>
                    </a:solidFill>
                    <a:latin typeface="Times New Roman"/>
                  </a:defRPr>
                </a:pPr>
              </a:p>
            </c:txPr>
            <c:showLegendKey val="0"/>
            <c:showVal val="1"/>
            <c:showCatName val="0"/>
            <c:showSerName val="0"/>
            <c:showPercent val="0"/>
            <c:showBubbleSize val="0"/>
          </c:dLbls>
          <c:cat>
            <c:strRef>
              <c:f>Forecast!$A$21:$A$32</c:f>
            </c:strRef>
          </c:cat>
          <c:val>
            <c:numRef>
              <c:f>Forecast!$B$21:$B$32</c:f>
              <c:numCache/>
            </c:numRef>
          </c:val>
          <c:smooth val="0"/>
        </c:ser>
        <c:ser>
          <c:idx val="1"/>
          <c:order val="1"/>
          <c:tx>
            <c:v>Real CPI</c:v>
          </c:tx>
          <c:spPr>
            <a:ln cmpd="sng" w="28575">
              <a:solidFill>
                <a:schemeClr val="accent2"/>
              </a:solidFill>
            </a:ln>
          </c:spPr>
          <c:marker>
            <c:symbol val="none"/>
          </c:marker>
          <c:dLbls>
            <c:numFmt formatCode="General" sourceLinked="1"/>
            <c:txPr>
              <a:bodyPr/>
              <a:lstStyle/>
              <a:p>
                <a:pPr lvl="0">
                  <a:defRPr b="0" i="0" sz="800">
                    <a:solidFill>
                      <a:srgbClr val="E97132"/>
                    </a:solidFill>
                    <a:latin typeface="Times New Roman"/>
                  </a:defRPr>
                </a:pPr>
              </a:p>
            </c:txPr>
            <c:showLegendKey val="0"/>
            <c:showVal val="1"/>
            <c:showCatName val="0"/>
            <c:showSerName val="0"/>
            <c:showPercent val="0"/>
            <c:showBubbleSize val="0"/>
          </c:dLbls>
          <c:cat>
            <c:strRef>
              <c:f>Forecast!$A$21:$A$32</c:f>
            </c:strRef>
          </c:cat>
          <c:val>
            <c:numRef>
              <c:f>Forecast!$C$21:$C$32</c:f>
              <c:numCache/>
            </c:numRef>
          </c:val>
          <c:smooth val="0"/>
        </c:ser>
        <c:axId val="749866439"/>
        <c:axId val="681643963"/>
      </c:lineChart>
      <c:catAx>
        <c:axId val="749866439"/>
        <c:scaling>
          <c:orientation val="minMax"/>
        </c:scaling>
        <c:delete val="0"/>
        <c:axPos val="b"/>
        <c:title>
          <c:tx>
            <c:rich>
              <a:bodyPr/>
              <a:lstStyle/>
              <a:p>
                <a:pPr lvl="0">
                  <a:defRPr b="0" i="0" sz="1200">
                    <a:solidFill>
                      <a:srgbClr val="000000"/>
                    </a:solidFill>
                    <a:latin typeface="Times New Roman"/>
                  </a:defRPr>
                </a:pPr>
                <a:r>
                  <a:rPr b="0" i="0" sz="1200">
                    <a:solidFill>
                      <a:srgbClr val="000000"/>
                    </a:solidFill>
                    <a:latin typeface="Times New Roman"/>
                  </a:rPr>
                  <a:t>datem</a:t>
                </a:r>
              </a:p>
            </c:rich>
          </c:tx>
          <c:overlay val="0"/>
        </c:title>
        <c:numFmt formatCode="General" sourceLinked="1"/>
        <c:majorTickMark val="none"/>
        <c:minorTickMark val="none"/>
        <c:spPr/>
        <c:txPr>
          <a:bodyPr/>
          <a:lstStyle/>
          <a:p>
            <a:pPr lvl="0">
              <a:defRPr b="0" i="0" sz="800">
                <a:solidFill>
                  <a:srgbClr val="000000"/>
                </a:solidFill>
                <a:latin typeface="Times New Roman"/>
              </a:defRPr>
            </a:pPr>
          </a:p>
        </c:txPr>
        <c:crossAx val="681643963"/>
      </c:catAx>
      <c:valAx>
        <c:axId val="681643963"/>
        <c:scaling>
          <c:orientation val="minMax"/>
        </c:scaling>
        <c:delete val="0"/>
        <c:axPos val="l"/>
        <c:title>
          <c:tx>
            <c:rich>
              <a:bodyPr/>
              <a:lstStyle/>
              <a:p>
                <a:pPr lvl="0">
                  <a:defRPr b="0" i="0" sz="800">
                    <a:solidFill>
                      <a:srgbClr val="000000"/>
                    </a:solidFill>
                    <a:latin typeface="Times New Roman"/>
                  </a:defRPr>
                </a:pPr>
                <a:r>
                  <a:rPr b="0" i="0" sz="800">
                    <a:solidFill>
                      <a:srgbClr val="000000"/>
                    </a:solidFill>
                    <a:latin typeface="Times New Roman"/>
                  </a:rPr>
                  <a:t>CPI</a:t>
                </a:r>
              </a:p>
            </c:rich>
          </c:tx>
          <c:overlay val="0"/>
        </c:title>
        <c:numFmt formatCode="#,##0" sourceLinked="0"/>
        <c:majorTickMark val="out"/>
        <c:minorTickMark val="none"/>
        <c:tickLblPos val="nextTo"/>
        <c:spPr>
          <a:ln/>
        </c:spPr>
        <c:txPr>
          <a:bodyPr/>
          <a:lstStyle/>
          <a:p>
            <a:pPr lvl="0">
              <a:defRPr b="0" i="0" sz="800">
                <a:solidFill>
                  <a:srgbClr val="000000"/>
                </a:solidFill>
                <a:latin typeface="Times New Roman"/>
              </a:defRPr>
            </a:pPr>
          </a:p>
        </c:txPr>
        <c:crossAx val="749866439"/>
      </c:valAx>
    </c:plotArea>
    <c:legend>
      <c:legendPos val="t"/>
      <c:overlay val="0"/>
      <c:txPr>
        <a:bodyPr/>
        <a:lstStyle/>
        <a:p>
          <a:pPr lvl="0">
            <a:defRPr b="0" i="0" sz="1000">
              <a:solidFill>
                <a:srgbClr val="1A1A1A"/>
              </a:solidFill>
              <a:latin typeface="Times New Roman"/>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000000"/>
                </a:solidFill>
                <a:latin typeface="Times New Roman"/>
              </a:defRPr>
            </a:pPr>
            <a:r>
              <a:rPr b="1" i="0" sz="1400">
                <a:solidFill>
                  <a:srgbClr val="000000"/>
                </a:solidFill>
                <a:latin typeface="Times New Roman"/>
              </a:rPr>
              <a:t>DỰ BÁO CPI NĂM 2023 - ARIMA MODEL</a:t>
            </a:r>
          </a:p>
        </c:rich>
      </c:tx>
      <c:overlay val="0"/>
    </c:title>
    <c:plotArea>
      <c:layout/>
      <c:lineChart>
        <c:ser>
          <c:idx val="0"/>
          <c:order val="0"/>
          <c:tx>
            <c:v>ARIMA CPI </c:v>
          </c:tx>
          <c:spPr>
            <a:ln cmpd="sng" w="28575">
              <a:solidFill>
                <a:schemeClr val="accent1"/>
              </a:solidFill>
            </a:ln>
          </c:spPr>
          <c:marker>
            <c:symbol val="none"/>
          </c:marker>
          <c:dLbls>
            <c:numFmt formatCode="General" sourceLinked="1"/>
            <c:txPr>
              <a:bodyPr/>
              <a:lstStyle/>
              <a:p>
                <a:pPr lvl="0">
                  <a:defRPr b="0" i="0" sz="800">
                    <a:solidFill>
                      <a:srgbClr val="0F9ED5"/>
                    </a:solidFill>
                    <a:latin typeface="Times New Roman"/>
                  </a:defRPr>
                </a:pPr>
              </a:p>
            </c:txPr>
            <c:showLegendKey val="0"/>
            <c:showVal val="1"/>
            <c:showCatName val="0"/>
            <c:showSerName val="0"/>
            <c:showPercent val="0"/>
            <c:showBubbleSize val="0"/>
          </c:dLbls>
          <c:cat>
            <c:strRef>
              <c:f>Forecast!$A$41:$A$52</c:f>
            </c:strRef>
          </c:cat>
          <c:val>
            <c:numRef>
              <c:f>Forecast!$B$41:$B$52</c:f>
              <c:numCache/>
            </c:numRef>
          </c:val>
          <c:smooth val="0"/>
        </c:ser>
        <c:ser>
          <c:idx val="1"/>
          <c:order val="1"/>
          <c:tx>
            <c:v>Real CPI</c:v>
          </c:tx>
          <c:spPr>
            <a:ln cmpd="sng" w="28575">
              <a:solidFill>
                <a:schemeClr val="accent2"/>
              </a:solidFill>
            </a:ln>
          </c:spPr>
          <c:marker>
            <c:symbol val="none"/>
          </c:marker>
          <c:dLbls>
            <c:numFmt formatCode="General" sourceLinked="1"/>
            <c:txPr>
              <a:bodyPr/>
              <a:lstStyle/>
              <a:p>
                <a:pPr lvl="0">
                  <a:defRPr b="0" i="0" sz="800">
                    <a:solidFill>
                      <a:srgbClr val="E97132"/>
                    </a:solidFill>
                    <a:latin typeface="Times New Roman"/>
                  </a:defRPr>
                </a:pPr>
              </a:p>
            </c:txPr>
            <c:showLegendKey val="0"/>
            <c:showVal val="1"/>
            <c:showCatName val="0"/>
            <c:showSerName val="0"/>
            <c:showPercent val="0"/>
            <c:showBubbleSize val="0"/>
          </c:dLbls>
          <c:cat>
            <c:strRef>
              <c:f>Forecast!$A$41:$A$52</c:f>
            </c:strRef>
          </c:cat>
          <c:val>
            <c:numRef>
              <c:f>Forecast!$C$41:$C$52</c:f>
              <c:numCache/>
            </c:numRef>
          </c:val>
          <c:smooth val="0"/>
        </c:ser>
        <c:axId val="1633389978"/>
        <c:axId val="991720923"/>
      </c:lineChart>
      <c:catAx>
        <c:axId val="1633389978"/>
        <c:scaling>
          <c:orientation val="minMax"/>
        </c:scaling>
        <c:delete val="0"/>
        <c:axPos val="b"/>
        <c:title>
          <c:tx>
            <c:rich>
              <a:bodyPr/>
              <a:lstStyle/>
              <a:p>
                <a:pPr lvl="0">
                  <a:defRPr b="0" i="0" sz="1200">
                    <a:solidFill>
                      <a:srgbClr val="000000"/>
                    </a:solidFill>
                    <a:latin typeface="Times New Roman"/>
                  </a:defRPr>
                </a:pPr>
                <a:r>
                  <a:rPr b="0" i="0" sz="1200">
                    <a:solidFill>
                      <a:srgbClr val="000000"/>
                    </a:solidFill>
                    <a:latin typeface="Times New Roman"/>
                  </a:rPr>
                  <a:t>datem</a:t>
                </a:r>
              </a:p>
            </c:rich>
          </c:tx>
          <c:overlay val="0"/>
        </c:title>
        <c:numFmt formatCode="General" sourceLinked="1"/>
        <c:majorTickMark val="none"/>
        <c:minorTickMark val="none"/>
        <c:spPr/>
        <c:txPr>
          <a:bodyPr/>
          <a:lstStyle/>
          <a:p>
            <a:pPr lvl="0">
              <a:defRPr b="0" i="0" sz="800">
                <a:solidFill>
                  <a:srgbClr val="000000"/>
                </a:solidFill>
                <a:latin typeface="Times New Roman"/>
              </a:defRPr>
            </a:pPr>
          </a:p>
        </c:txPr>
        <c:crossAx val="991720923"/>
      </c:catAx>
      <c:valAx>
        <c:axId val="991720923"/>
        <c:scaling>
          <c:orientation val="minMax"/>
        </c:scaling>
        <c:delete val="0"/>
        <c:axPos val="l"/>
        <c:title>
          <c:tx>
            <c:rich>
              <a:bodyPr/>
              <a:lstStyle/>
              <a:p>
                <a:pPr lvl="0">
                  <a:defRPr b="0" i="0" sz="800">
                    <a:solidFill>
                      <a:srgbClr val="000000"/>
                    </a:solidFill>
                    <a:latin typeface="Times New Roman"/>
                  </a:defRPr>
                </a:pPr>
                <a:r>
                  <a:rPr b="0" i="0" sz="800">
                    <a:solidFill>
                      <a:srgbClr val="000000"/>
                    </a:solidFill>
                    <a:latin typeface="Times New Roman"/>
                  </a:rPr>
                  <a:t>CPI</a:t>
                </a:r>
              </a:p>
            </c:rich>
          </c:tx>
          <c:overlay val="0"/>
        </c:title>
        <c:numFmt formatCode="#,##0" sourceLinked="0"/>
        <c:majorTickMark val="out"/>
        <c:minorTickMark val="none"/>
        <c:tickLblPos val="nextTo"/>
        <c:spPr>
          <a:ln/>
        </c:spPr>
        <c:txPr>
          <a:bodyPr/>
          <a:lstStyle/>
          <a:p>
            <a:pPr lvl="0">
              <a:defRPr b="0" i="0" sz="800">
                <a:solidFill>
                  <a:srgbClr val="000000"/>
                </a:solidFill>
                <a:latin typeface="Times New Roman"/>
              </a:defRPr>
            </a:pPr>
          </a:p>
        </c:txPr>
        <c:crossAx val="1633389978"/>
      </c:valAx>
    </c:plotArea>
    <c:legend>
      <c:legendPos val="t"/>
      <c:overlay val="0"/>
      <c:txPr>
        <a:bodyPr/>
        <a:lstStyle/>
        <a:p>
          <a:pPr lvl="0">
            <a:defRPr b="0" i="0" sz="1000">
              <a:solidFill>
                <a:srgbClr val="1A1A1A"/>
              </a:solidFill>
              <a:latin typeface="Times New Roman"/>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000000"/>
                </a:solidFill>
                <a:latin typeface="Times New Roman"/>
              </a:defRPr>
            </a:pPr>
            <a:r>
              <a:rPr b="1" i="0" sz="1400">
                <a:solidFill>
                  <a:srgbClr val="000000"/>
                </a:solidFill>
                <a:latin typeface="Times New Roman"/>
              </a:rPr>
              <a:t>DỰ BÁO CPI NĂM 2023 - DISTRIBUTED LAG MODEL</a:t>
            </a:r>
          </a:p>
        </c:rich>
      </c:tx>
      <c:overlay val="0"/>
    </c:title>
    <c:plotArea>
      <c:layout/>
      <c:lineChart>
        <c:ser>
          <c:idx val="0"/>
          <c:order val="0"/>
          <c:tx>
            <c:v>DLM CPI </c:v>
          </c:tx>
          <c:spPr>
            <a:ln cmpd="sng" w="28575">
              <a:solidFill>
                <a:schemeClr val="accent1"/>
              </a:solidFill>
            </a:ln>
          </c:spPr>
          <c:marker>
            <c:symbol val="none"/>
          </c:marker>
          <c:cat>
            <c:strRef>
              <c:f>Forecast!$A$61:$A$72</c:f>
            </c:strRef>
          </c:cat>
          <c:val>
            <c:numRef>
              <c:f>Forecast!$B$61:$B$72</c:f>
              <c:numCache/>
            </c:numRef>
          </c:val>
          <c:smooth val="0"/>
        </c:ser>
        <c:ser>
          <c:idx val="1"/>
          <c:order val="1"/>
          <c:tx>
            <c:v>Real CPI</c:v>
          </c:tx>
          <c:spPr>
            <a:ln cmpd="sng" w="28575">
              <a:solidFill>
                <a:schemeClr val="accent2"/>
              </a:solidFill>
            </a:ln>
          </c:spPr>
          <c:marker>
            <c:symbol val="none"/>
          </c:marker>
          <c:dLbls>
            <c:numFmt formatCode="General" sourceLinked="1"/>
            <c:txPr>
              <a:bodyPr/>
              <a:lstStyle/>
              <a:p>
                <a:pPr lvl="0">
                  <a:defRPr b="0" i="0" sz="800">
                    <a:solidFill>
                      <a:srgbClr val="E97132"/>
                    </a:solidFill>
                    <a:latin typeface="Times New Roman"/>
                  </a:defRPr>
                </a:pPr>
              </a:p>
            </c:txPr>
            <c:showLegendKey val="0"/>
            <c:showVal val="1"/>
            <c:showCatName val="0"/>
            <c:showSerName val="0"/>
            <c:showPercent val="0"/>
            <c:showBubbleSize val="0"/>
          </c:dLbls>
          <c:cat>
            <c:strRef>
              <c:f>Forecast!$A$61:$A$72</c:f>
            </c:strRef>
          </c:cat>
          <c:val>
            <c:numRef>
              <c:f>Forecast!$C$61:$C$72</c:f>
              <c:numCache/>
            </c:numRef>
          </c:val>
          <c:smooth val="0"/>
        </c:ser>
        <c:axId val="1593494547"/>
        <c:axId val="1702793198"/>
      </c:lineChart>
      <c:catAx>
        <c:axId val="1593494547"/>
        <c:scaling>
          <c:orientation val="minMax"/>
        </c:scaling>
        <c:delete val="0"/>
        <c:axPos val="b"/>
        <c:title>
          <c:tx>
            <c:rich>
              <a:bodyPr/>
              <a:lstStyle/>
              <a:p>
                <a:pPr lvl="0">
                  <a:defRPr b="0" i="0" sz="1200">
                    <a:solidFill>
                      <a:srgbClr val="000000"/>
                    </a:solidFill>
                    <a:latin typeface="Times New Roman"/>
                  </a:defRPr>
                </a:pPr>
                <a:r>
                  <a:rPr b="0" i="0" sz="1200">
                    <a:solidFill>
                      <a:srgbClr val="000000"/>
                    </a:solidFill>
                    <a:latin typeface="Times New Roman"/>
                  </a:rPr>
                  <a:t>datem</a:t>
                </a:r>
              </a:p>
            </c:rich>
          </c:tx>
          <c:overlay val="0"/>
        </c:title>
        <c:numFmt formatCode="General" sourceLinked="1"/>
        <c:majorTickMark val="none"/>
        <c:minorTickMark val="none"/>
        <c:spPr/>
        <c:txPr>
          <a:bodyPr/>
          <a:lstStyle/>
          <a:p>
            <a:pPr lvl="0">
              <a:defRPr b="0" i="0" sz="800">
                <a:solidFill>
                  <a:srgbClr val="000000"/>
                </a:solidFill>
                <a:latin typeface="Times New Roman"/>
              </a:defRPr>
            </a:pPr>
          </a:p>
        </c:txPr>
        <c:crossAx val="1702793198"/>
      </c:catAx>
      <c:valAx>
        <c:axId val="1702793198"/>
        <c:scaling>
          <c:orientation val="minMax"/>
        </c:scaling>
        <c:delete val="0"/>
        <c:axPos val="l"/>
        <c:title>
          <c:tx>
            <c:rich>
              <a:bodyPr/>
              <a:lstStyle/>
              <a:p>
                <a:pPr lvl="0">
                  <a:defRPr b="0" i="0" sz="800">
                    <a:solidFill>
                      <a:srgbClr val="000000"/>
                    </a:solidFill>
                    <a:latin typeface="Times New Roman"/>
                  </a:defRPr>
                </a:pPr>
                <a:r>
                  <a:rPr b="0" i="0" sz="800">
                    <a:solidFill>
                      <a:srgbClr val="000000"/>
                    </a:solidFill>
                    <a:latin typeface="Times New Roman"/>
                  </a:rPr>
                  <a:t>CPI</a:t>
                </a:r>
              </a:p>
            </c:rich>
          </c:tx>
          <c:overlay val="0"/>
        </c:title>
        <c:numFmt formatCode="#,##0" sourceLinked="0"/>
        <c:majorTickMark val="out"/>
        <c:minorTickMark val="none"/>
        <c:tickLblPos val="nextTo"/>
        <c:spPr>
          <a:ln/>
        </c:spPr>
        <c:txPr>
          <a:bodyPr/>
          <a:lstStyle/>
          <a:p>
            <a:pPr lvl="0">
              <a:defRPr b="0" i="0" sz="800">
                <a:solidFill>
                  <a:srgbClr val="000000"/>
                </a:solidFill>
                <a:latin typeface="Times New Roman"/>
              </a:defRPr>
            </a:pPr>
          </a:p>
        </c:txPr>
        <c:crossAx val="1593494547"/>
      </c:valAx>
    </c:plotArea>
    <c:legend>
      <c:legendPos val="t"/>
      <c:overlay val="0"/>
      <c:txPr>
        <a:bodyPr/>
        <a:lstStyle/>
        <a:p>
          <a:pPr lvl="0">
            <a:defRPr b="0" i="0" sz="1000">
              <a:solidFill>
                <a:srgbClr val="1A1A1A"/>
              </a:solidFill>
              <a:latin typeface="Times New Roman"/>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5.png"/><Relationship Id="rId4" Type="http://schemas.openxmlformats.org/officeDocument/2006/relationships/image" Target="../media/image4.png"/><Relationship Id="rId5"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409575</xdr:colOff>
      <xdr:row>12</xdr:row>
      <xdr:rowOff>152400</xdr:rowOff>
    </xdr:from>
    <xdr:ext cx="3371850" cy="571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22</xdr:row>
      <xdr:rowOff>95250</xdr:rowOff>
    </xdr:from>
    <xdr:ext cx="1619250" cy="5429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323850</xdr:colOff>
      <xdr:row>22</xdr:row>
      <xdr:rowOff>95250</xdr:rowOff>
    </xdr:from>
    <xdr:ext cx="1752600" cy="5715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13</xdr:col>
      <xdr:colOff>114300</xdr:colOff>
      <xdr:row>22</xdr:row>
      <xdr:rowOff>114300</xdr:rowOff>
    </xdr:from>
    <xdr:ext cx="1838325" cy="542925"/>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25</xdr:row>
      <xdr:rowOff>95250</xdr:rowOff>
    </xdr:from>
    <xdr:ext cx="1504950" cy="542925"/>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35</xdr:row>
      <xdr:rowOff>0</xdr:rowOff>
    </xdr:from>
    <xdr:ext cx="5391150" cy="341947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53</xdr:row>
      <xdr:rowOff>0</xdr:rowOff>
    </xdr:from>
    <xdr:ext cx="5391150" cy="3419475"/>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390525</xdr:colOff>
      <xdr:row>0</xdr:row>
      <xdr:rowOff>142875</xdr:rowOff>
    </xdr:from>
    <xdr:ext cx="5972175" cy="2733675"/>
    <xdr:graphicFrame>
      <xdr:nvGraphicFramePr>
        <xdr:cNvPr id="3" name="Chart 3"/>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390525</xdr:colOff>
      <xdr:row>19</xdr:row>
      <xdr:rowOff>142875</xdr:rowOff>
    </xdr:from>
    <xdr:ext cx="5972175" cy="2733675"/>
    <xdr:graphicFrame>
      <xdr:nvGraphicFramePr>
        <xdr:cNvPr id="4" name="Chart 4"/>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600075</xdr:colOff>
      <xdr:row>37</xdr:row>
      <xdr:rowOff>66675</xdr:rowOff>
    </xdr:from>
    <xdr:ext cx="5972175" cy="2743200"/>
    <xdr:graphicFrame>
      <xdr:nvGraphicFramePr>
        <xdr:cNvPr id="5" name="Chart 5"/>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600075</xdr:colOff>
      <xdr:row>57</xdr:row>
      <xdr:rowOff>66675</xdr:rowOff>
    </xdr:from>
    <xdr:ext cx="5972175" cy="2743200"/>
    <xdr:graphicFrame>
      <xdr:nvGraphicFramePr>
        <xdr:cNvPr id="6" name="Chart 6"/>
        <xdr:cNvGraphicFramePr/>
      </xdr:nvGraphicFramePr>
      <xdr:xfrm>
        <a:off x="0" y="0"/>
        <a:ext cx="0" cy="0"/>
      </xdr:xfrm>
      <a:graphic>
        <a:graphicData uri="http://schemas.openxmlformats.org/drawingml/2006/chart">
          <c:chart r:id="rId4"/>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10.38"/>
    <col customWidth="1" min="3" max="26" width="8.63"/>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ht="14.25" customHeight="1">
      <c r="A2" s="1" t="s">
        <v>25</v>
      </c>
      <c r="B2" s="2">
        <v>36540.0</v>
      </c>
      <c r="C2" s="3">
        <v>169.3</v>
      </c>
      <c r="D2" s="1">
        <v>26.4288095238095</v>
      </c>
      <c r="E2" s="1">
        <v>4.8799413</v>
      </c>
      <c r="F2" s="1">
        <v>4.615801</v>
      </c>
      <c r="G2" s="1">
        <v>5.45</v>
      </c>
      <c r="H2" s="1">
        <v>-10.443595</v>
      </c>
      <c r="I2" s="1">
        <v>6.1380952</v>
      </c>
      <c r="J2" s="1">
        <v>6.9733333</v>
      </c>
      <c r="L2" s="1">
        <v>5.2338095</v>
      </c>
      <c r="M2" s="1">
        <v>14041.0</v>
      </c>
    </row>
    <row r="3" ht="14.25" customHeight="1">
      <c r="A3" s="1" t="s">
        <v>26</v>
      </c>
      <c r="B3" s="2">
        <v>36571.0</v>
      </c>
      <c r="C3" s="3">
        <v>170.0</v>
      </c>
      <c r="D3" s="1">
        <v>28.6964285714285</v>
      </c>
      <c r="E3" s="1">
        <v>4.8974109</v>
      </c>
      <c r="F3" s="1">
        <v>4.630586</v>
      </c>
      <c r="G3" s="1">
        <v>5.73</v>
      </c>
      <c r="H3" s="1">
        <v>-9.0995029</v>
      </c>
      <c r="I3" s="1">
        <v>5.8228571</v>
      </c>
      <c r="J3" s="1">
        <v>6.7052381</v>
      </c>
      <c r="L3" s="1">
        <v>4.8219048</v>
      </c>
      <c r="M3" s="1">
        <v>14058.0</v>
      </c>
    </row>
    <row r="4" ht="14.25" customHeight="1">
      <c r="A4" s="1" t="s">
        <v>27</v>
      </c>
      <c r="B4" s="2">
        <v>36600.0</v>
      </c>
      <c r="C4" s="3">
        <v>171.0</v>
      </c>
      <c r="D4" s="1">
        <v>28.6932608695652</v>
      </c>
      <c r="E4" s="1">
        <v>4.8995618</v>
      </c>
      <c r="F4" s="1">
        <v>4.630019</v>
      </c>
      <c r="G4" s="1">
        <v>5.85</v>
      </c>
      <c r="H4" s="1">
        <v>5.5754078</v>
      </c>
      <c r="I4" s="1">
        <v>5.1773913</v>
      </c>
      <c r="J4" s="1">
        <v>5.9165217</v>
      </c>
      <c r="L4" s="1">
        <v>4.2169565</v>
      </c>
      <c r="M4" s="1">
        <v>14061.0</v>
      </c>
    </row>
    <row r="5" ht="14.25" customHeight="1">
      <c r="A5" s="1" t="s">
        <v>28</v>
      </c>
      <c r="B5" s="2">
        <v>36631.0</v>
      </c>
      <c r="C5" s="3">
        <v>170.9</v>
      </c>
      <c r="D5" s="1">
        <v>24.47625</v>
      </c>
      <c r="E5" s="1">
        <v>4.9030264</v>
      </c>
      <c r="F5" s="1">
        <v>4.631441</v>
      </c>
      <c r="G5" s="1">
        <v>6.02</v>
      </c>
      <c r="H5" s="1">
        <v>8.6586272</v>
      </c>
      <c r="I5" s="1">
        <v>5.245</v>
      </c>
      <c r="J5" s="1">
        <v>5.791</v>
      </c>
      <c r="L5" s="1">
        <v>4.4575</v>
      </c>
      <c r="M5" s="1">
        <v>14063.0</v>
      </c>
    </row>
    <row r="6" ht="14.25" customHeight="1">
      <c r="A6" s="1" t="s">
        <v>29</v>
      </c>
      <c r="B6" s="2">
        <v>36661.0</v>
      </c>
      <c r="C6" s="3">
        <v>171.2</v>
      </c>
      <c r="D6" s="1">
        <v>28.319347826087</v>
      </c>
      <c r="E6" s="1">
        <v>4.9272172</v>
      </c>
      <c r="F6" s="1">
        <v>4.6515264</v>
      </c>
      <c r="G6" s="1">
        <v>6.27</v>
      </c>
      <c r="H6" s="1">
        <v>4.6707416</v>
      </c>
      <c r="I6" s="1">
        <v>5.2495652</v>
      </c>
      <c r="J6" s="1">
        <v>5.7913043</v>
      </c>
      <c r="L6" s="1">
        <v>4.4878261</v>
      </c>
      <c r="M6" s="1">
        <v>14077.0</v>
      </c>
    </row>
    <row r="7" ht="14.25" customHeight="1">
      <c r="A7" s="1" t="s">
        <v>30</v>
      </c>
      <c r="B7" s="2">
        <v>36692.0</v>
      </c>
      <c r="C7" s="3">
        <v>172.2</v>
      </c>
      <c r="D7" s="1">
        <v>31.1711363636363</v>
      </c>
      <c r="E7" s="1">
        <v>4.9103425</v>
      </c>
      <c r="F7" s="1">
        <v>4.628635</v>
      </c>
      <c r="G7" s="1">
        <v>6.53</v>
      </c>
      <c r="H7" s="1">
        <v>3.4383099</v>
      </c>
      <c r="I7" s="1">
        <v>5.2968182</v>
      </c>
      <c r="J7" s="1">
        <v>5.8409091</v>
      </c>
      <c r="L7" s="1">
        <v>4.4945455</v>
      </c>
      <c r="M7" s="1">
        <v>14085.0</v>
      </c>
    </row>
    <row r="8" ht="14.25" customHeight="1">
      <c r="A8" s="1" t="s">
        <v>31</v>
      </c>
      <c r="B8" s="2">
        <v>36722.0</v>
      </c>
      <c r="C8" s="3">
        <v>172.7</v>
      </c>
      <c r="D8" s="1">
        <v>29.4390476190476</v>
      </c>
      <c r="E8" s="1">
        <v>4.9181986</v>
      </c>
      <c r="F8" s="1">
        <v>4.6321749</v>
      </c>
      <c r="G8" s="1">
        <v>6.54</v>
      </c>
      <c r="H8" s="1">
        <v>5.121741</v>
      </c>
      <c r="I8" s="1">
        <v>5.2957143</v>
      </c>
      <c r="J8" s="1">
        <v>5.7952381</v>
      </c>
      <c r="L8" s="1">
        <v>4.5642857</v>
      </c>
      <c r="M8" s="1">
        <v>14091.0</v>
      </c>
    </row>
    <row r="9" ht="14.25" customHeight="1">
      <c r="A9" s="1" t="s">
        <v>32</v>
      </c>
      <c r="B9" s="2">
        <v>36753.0</v>
      </c>
      <c r="C9" s="3">
        <v>172.7</v>
      </c>
      <c r="D9" s="1">
        <v>31.4239130434782</v>
      </c>
      <c r="E9" s="1">
        <v>4.9289959</v>
      </c>
      <c r="F9" s="1">
        <v>4.6431939</v>
      </c>
      <c r="G9" s="1">
        <v>6.5</v>
      </c>
      <c r="H9" s="1">
        <v>6.5760664</v>
      </c>
      <c r="I9" s="1">
        <v>5.4030435</v>
      </c>
      <c r="J9" s="1">
        <v>5.8926087</v>
      </c>
      <c r="L9" s="1">
        <v>4.8156522</v>
      </c>
      <c r="M9" s="1">
        <v>14106.0</v>
      </c>
    </row>
    <row r="10" ht="14.25" customHeight="1">
      <c r="A10" s="1" t="s">
        <v>33</v>
      </c>
      <c r="B10" s="2">
        <v>36784.0</v>
      </c>
      <c r="C10" s="3">
        <v>173.6</v>
      </c>
      <c r="D10" s="1">
        <v>33.6102380952381</v>
      </c>
      <c r="E10" s="1">
        <v>4.9392187</v>
      </c>
      <c r="F10" s="1">
        <v>4.6485462</v>
      </c>
      <c r="G10" s="1">
        <v>6.52</v>
      </c>
      <c r="H10" s="1">
        <v>10.57866</v>
      </c>
      <c r="I10" s="1">
        <v>5.8609524</v>
      </c>
      <c r="J10" s="1">
        <v>6.4004762</v>
      </c>
      <c r="L10" s="1">
        <v>5.3361905</v>
      </c>
      <c r="M10" s="1">
        <v>14162.0</v>
      </c>
    </row>
    <row r="11" ht="14.25" customHeight="1">
      <c r="A11" s="1" t="s">
        <v>34</v>
      </c>
      <c r="B11" s="2">
        <v>36814.0</v>
      </c>
      <c r="C11" s="3">
        <v>173.9</v>
      </c>
      <c r="D11" s="1">
        <v>32.1888636363636</v>
      </c>
      <c r="E11" s="1">
        <v>4.9434367</v>
      </c>
      <c r="F11" s="1">
        <v>4.6546306</v>
      </c>
      <c r="G11" s="1">
        <v>6.51</v>
      </c>
      <c r="H11" s="1">
        <v>11.847635</v>
      </c>
      <c r="I11" s="1">
        <v>6.6268182</v>
      </c>
      <c r="J11" s="1">
        <v>7.405</v>
      </c>
      <c r="L11" s="1">
        <v>6.1372727</v>
      </c>
      <c r="M11" s="1">
        <v>14306.0</v>
      </c>
    </row>
    <row r="12" ht="14.25" customHeight="1">
      <c r="A12" s="1" t="s">
        <v>35</v>
      </c>
      <c r="B12" s="2">
        <v>36845.0</v>
      </c>
      <c r="C12" s="3">
        <v>174.2</v>
      </c>
      <c r="D12" s="1">
        <v>33.7179545454545</v>
      </c>
      <c r="E12" s="1">
        <v>4.9393229</v>
      </c>
      <c r="F12" s="1">
        <v>4.656013</v>
      </c>
      <c r="G12" s="1">
        <v>6.51</v>
      </c>
      <c r="H12" s="1">
        <v>11.145601</v>
      </c>
      <c r="I12" s="1">
        <v>8.9286364</v>
      </c>
      <c r="J12" s="1">
        <v>9.6886364</v>
      </c>
      <c r="L12" s="1">
        <v>7.3786364</v>
      </c>
      <c r="M12" s="1">
        <v>14452.0</v>
      </c>
    </row>
    <row r="13" ht="14.25" customHeight="1">
      <c r="A13" s="1" t="s">
        <v>36</v>
      </c>
      <c r="B13" s="2">
        <v>36875.0</v>
      </c>
      <c r="C13" s="3">
        <v>174.6</v>
      </c>
      <c r="D13" s="1">
        <v>26.9319047619047</v>
      </c>
      <c r="E13" s="1">
        <v>4.9292585</v>
      </c>
      <c r="F13" s="1">
        <v>4.6408479</v>
      </c>
      <c r="G13" s="1">
        <v>6.4</v>
      </c>
      <c r="H13" s="1">
        <v>4.2936665</v>
      </c>
      <c r="I13" s="1">
        <v>8.1666667</v>
      </c>
      <c r="J13" s="1">
        <v>8.8790476</v>
      </c>
      <c r="L13" s="1">
        <v>6.85</v>
      </c>
      <c r="M13" s="1">
        <v>14511.0</v>
      </c>
    </row>
    <row r="14" ht="14.25" customHeight="1">
      <c r="A14" s="1" t="s">
        <v>37</v>
      </c>
      <c r="B14" s="2">
        <v>36906.0</v>
      </c>
      <c r="C14" s="3">
        <v>175.6</v>
      </c>
      <c r="D14" s="1">
        <v>27.6360869565217</v>
      </c>
      <c r="E14" s="1">
        <v>4.9240938</v>
      </c>
      <c r="F14" s="1">
        <v>4.629198</v>
      </c>
      <c r="G14" s="1">
        <v>5.98</v>
      </c>
      <c r="H14" s="1">
        <v>1.1785129</v>
      </c>
      <c r="I14" s="1">
        <v>6.8386957</v>
      </c>
      <c r="J14" s="1">
        <v>7.5947826</v>
      </c>
      <c r="L14" s="1">
        <v>5.48</v>
      </c>
      <c r="M14" s="1">
        <v>14534.0</v>
      </c>
    </row>
    <row r="15" ht="14.25" customHeight="1">
      <c r="A15" s="1" t="s">
        <v>38</v>
      </c>
      <c r="B15" s="2">
        <v>36937.0</v>
      </c>
      <c r="C15" s="3">
        <v>176.0</v>
      </c>
      <c r="D15" s="1">
        <v>28.74</v>
      </c>
      <c r="E15" s="1">
        <v>4.9258969</v>
      </c>
      <c r="F15" s="1">
        <v>4.6192682</v>
      </c>
      <c r="G15" s="1">
        <v>5.49</v>
      </c>
      <c r="H15" s="1">
        <v>-4.6000826</v>
      </c>
      <c r="I15" s="1">
        <v>6.3445</v>
      </c>
      <c r="J15" s="1">
        <v>7.0075</v>
      </c>
      <c r="L15" s="1">
        <v>5.24</v>
      </c>
      <c r="M15" s="1">
        <v>14557.0</v>
      </c>
    </row>
    <row r="16" ht="14.25" customHeight="1">
      <c r="A16" s="1" t="s">
        <v>39</v>
      </c>
      <c r="B16" s="2">
        <v>36965.0</v>
      </c>
      <c r="C16" s="3">
        <v>176.1</v>
      </c>
      <c r="D16" s="1">
        <v>26.1379545454545</v>
      </c>
      <c r="E16" s="1">
        <v>4.9452983</v>
      </c>
      <c r="F16" s="1">
        <v>4.6392729</v>
      </c>
      <c r="G16" s="1">
        <v>5.31</v>
      </c>
      <c r="H16" s="1">
        <v>-2.9489704</v>
      </c>
      <c r="I16" s="1">
        <v>6.1509091</v>
      </c>
      <c r="J16" s="1">
        <v>6.6381818</v>
      </c>
      <c r="L16" s="1">
        <v>5.1622727</v>
      </c>
      <c r="M16" s="1">
        <v>14552.0</v>
      </c>
    </row>
    <row r="17" ht="14.25" customHeight="1">
      <c r="A17" s="1" t="s">
        <v>40</v>
      </c>
      <c r="B17" s="2">
        <v>36996.0</v>
      </c>
      <c r="C17" s="3">
        <v>176.4</v>
      </c>
      <c r="D17" s="1">
        <v>26.7359523809523</v>
      </c>
      <c r="E17" s="1">
        <v>4.9627291</v>
      </c>
      <c r="F17" s="1">
        <v>4.6531999</v>
      </c>
      <c r="G17" s="1">
        <v>4.8</v>
      </c>
      <c r="H17" s="1">
        <v>-7.2393185</v>
      </c>
      <c r="I17" s="1">
        <v>5.9642857</v>
      </c>
      <c r="J17" s="1">
        <v>6.4609524</v>
      </c>
      <c r="L17" s="1">
        <v>4.8752381</v>
      </c>
      <c r="M17" s="1">
        <v>14557.0</v>
      </c>
    </row>
    <row r="18" ht="14.25" customHeight="1">
      <c r="A18" s="1" t="s">
        <v>41</v>
      </c>
      <c r="B18" s="2">
        <v>37026.0</v>
      </c>
      <c r="C18" s="3">
        <v>177.3</v>
      </c>
      <c r="D18" s="1">
        <v>28.5243478260869</v>
      </c>
      <c r="E18" s="1">
        <v>4.9618025</v>
      </c>
      <c r="F18" s="1">
        <v>4.6502232</v>
      </c>
      <c r="G18" s="1">
        <v>4.21</v>
      </c>
      <c r="H18" s="1">
        <v>-6.9599616</v>
      </c>
      <c r="I18" s="1">
        <v>5.9656522</v>
      </c>
      <c r="J18" s="1">
        <v>6.4552174</v>
      </c>
      <c r="L18" s="1">
        <v>5.0173913</v>
      </c>
      <c r="M18" s="1">
        <v>14604.0</v>
      </c>
    </row>
    <row r="19" ht="14.25" customHeight="1">
      <c r="A19" s="1" t="s">
        <v>42</v>
      </c>
      <c r="B19" s="2">
        <v>37057.0</v>
      </c>
      <c r="C19" s="3">
        <v>177.7</v>
      </c>
      <c r="D19" s="1">
        <v>27.8023809523809</v>
      </c>
      <c r="E19" s="1">
        <v>4.961345</v>
      </c>
      <c r="F19" s="1">
        <v>4.6504529</v>
      </c>
      <c r="G19" s="1">
        <v>3.97</v>
      </c>
      <c r="H19" s="1">
        <v>-12.048144</v>
      </c>
      <c r="I19" s="1">
        <v>6.0942857</v>
      </c>
      <c r="J19" s="1">
        <v>6.5695238</v>
      </c>
      <c r="L19" s="1">
        <v>5.3747619</v>
      </c>
      <c r="M19" s="1">
        <v>14769.0</v>
      </c>
    </row>
    <row r="20" ht="14.25" customHeight="1">
      <c r="A20" s="1" t="s">
        <v>43</v>
      </c>
      <c r="B20" s="2">
        <v>37087.0</v>
      </c>
      <c r="C20" s="3">
        <v>177.4</v>
      </c>
      <c r="D20" s="1">
        <v>25.7136363636363</v>
      </c>
      <c r="E20" s="1">
        <v>4.9559261</v>
      </c>
      <c r="F20" s="1">
        <v>4.6460456</v>
      </c>
      <c r="G20" s="1">
        <v>3.77</v>
      </c>
      <c r="H20" s="1">
        <v>-24.891328</v>
      </c>
      <c r="I20" s="1">
        <v>7.4831818</v>
      </c>
      <c r="J20" s="1">
        <v>8.0022727</v>
      </c>
      <c r="K20" s="1">
        <v>8.6175</v>
      </c>
      <c r="L20" s="1">
        <v>6.725</v>
      </c>
      <c r="M20" s="1">
        <v>14897.0</v>
      </c>
    </row>
    <row r="21" ht="14.25" customHeight="1">
      <c r="A21" s="1" t="s">
        <v>44</v>
      </c>
      <c r="B21" s="2">
        <v>37118.0</v>
      </c>
      <c r="C21" s="3">
        <v>177.4</v>
      </c>
      <c r="D21" s="1">
        <v>26.6019565217391</v>
      </c>
      <c r="E21" s="1">
        <v>4.9257029</v>
      </c>
      <c r="F21" s="1">
        <v>4.6165044</v>
      </c>
      <c r="G21" s="1">
        <v>3.65</v>
      </c>
      <c r="H21" s="1">
        <v>-45.560616</v>
      </c>
      <c r="I21" s="1">
        <v>7.286087</v>
      </c>
      <c r="J21" s="1">
        <v>7.8508696</v>
      </c>
      <c r="K21" s="1">
        <v>8.4147826</v>
      </c>
      <c r="L21" s="1">
        <v>6.2321739</v>
      </c>
      <c r="M21" s="1">
        <v>14979.0</v>
      </c>
    </row>
    <row r="22" ht="14.25" customHeight="1">
      <c r="A22" s="1" t="s">
        <v>45</v>
      </c>
      <c r="B22" s="2">
        <v>37149.0</v>
      </c>
      <c r="C22" s="3">
        <v>178.1</v>
      </c>
      <c r="D22" s="1">
        <v>26.024</v>
      </c>
      <c r="E22" s="1">
        <v>4.9804016</v>
      </c>
      <c r="F22" s="1">
        <v>4.6761476</v>
      </c>
      <c r="G22" s="1">
        <v>3.07</v>
      </c>
      <c r="H22" s="1">
        <v>-49.426415</v>
      </c>
      <c r="I22" s="1">
        <v>6.718</v>
      </c>
      <c r="J22" s="1">
        <v>7.303</v>
      </c>
      <c r="K22" s="1">
        <v>7.723</v>
      </c>
      <c r="L22" s="1">
        <v>5.857</v>
      </c>
      <c r="M22" s="1">
        <v>14099.0</v>
      </c>
    </row>
    <row r="23" ht="14.25" customHeight="1">
      <c r="A23" s="1" t="s">
        <v>46</v>
      </c>
      <c r="B23" s="2">
        <v>37179.0</v>
      </c>
      <c r="C23" s="3">
        <v>177.6</v>
      </c>
      <c r="D23" s="1">
        <v>21.6215217391304</v>
      </c>
      <c r="E23" s="1">
        <v>4.9263853</v>
      </c>
      <c r="F23" s="1">
        <v>4.6218927</v>
      </c>
      <c r="G23" s="1">
        <v>2.49</v>
      </c>
      <c r="H23" s="1">
        <v>-54.081987</v>
      </c>
      <c r="I23" s="1">
        <v>6.646087</v>
      </c>
      <c r="J23" s="1">
        <v>7.2617391</v>
      </c>
      <c r="K23" s="1">
        <v>7.7069565</v>
      </c>
      <c r="L23" s="1">
        <v>5.6773913</v>
      </c>
      <c r="M23" s="1">
        <v>15022.0</v>
      </c>
    </row>
    <row r="24" ht="14.25" customHeight="1">
      <c r="A24" s="1" t="s">
        <v>47</v>
      </c>
      <c r="B24" s="2">
        <v>37210.0</v>
      </c>
      <c r="C24" s="3">
        <v>177.5</v>
      </c>
      <c r="D24" s="1">
        <v>19.3447727272727</v>
      </c>
      <c r="E24" s="1">
        <v>4.9302627</v>
      </c>
      <c r="F24" s="1">
        <v>4.628318</v>
      </c>
      <c r="G24" s="1">
        <v>2.09</v>
      </c>
      <c r="H24" s="1">
        <v>-58.767748</v>
      </c>
      <c r="I24" s="1">
        <v>6.5268182</v>
      </c>
      <c r="J24" s="1">
        <v>7.1209091</v>
      </c>
      <c r="K24" s="1">
        <v>7.5981818</v>
      </c>
      <c r="L24" s="1">
        <v>5.5231818</v>
      </c>
      <c r="M24" s="1">
        <v>15063.0</v>
      </c>
    </row>
    <row r="25" ht="14.25" customHeight="1">
      <c r="A25" s="1" t="s">
        <v>48</v>
      </c>
      <c r="B25" s="2">
        <v>37240.0</v>
      </c>
      <c r="C25" s="3">
        <v>177.4</v>
      </c>
      <c r="D25" s="1">
        <v>18.9995238095238</v>
      </c>
      <c r="E25" s="1">
        <v>4.935586</v>
      </c>
      <c r="F25" s="1">
        <v>4.6384406</v>
      </c>
      <c r="G25" s="1">
        <v>1.82</v>
      </c>
      <c r="H25" s="1">
        <v>-56.807442</v>
      </c>
      <c r="I25" s="1">
        <v>6.1880952</v>
      </c>
      <c r="J25" s="1">
        <v>6.7814286</v>
      </c>
      <c r="K25" s="1">
        <v>7.2909524</v>
      </c>
      <c r="L25" s="1">
        <v>4.9390476</v>
      </c>
      <c r="M25" s="1">
        <v>15069.0</v>
      </c>
      <c r="N25" s="1">
        <v>29.48690507558367</v>
      </c>
      <c r="Y25" s="4"/>
    </row>
    <row r="26" ht="14.25" customHeight="1">
      <c r="A26" s="1" t="s">
        <v>49</v>
      </c>
      <c r="B26" s="2">
        <v>37271.0</v>
      </c>
      <c r="C26" s="3">
        <v>177.7</v>
      </c>
      <c r="D26" s="1">
        <v>19.8202173913043</v>
      </c>
      <c r="E26" s="1">
        <v>4.9468977</v>
      </c>
      <c r="F26" s="1">
        <v>4.6513727</v>
      </c>
      <c r="G26" s="1">
        <v>1.73</v>
      </c>
      <c r="H26" s="1">
        <v>-50.035025</v>
      </c>
      <c r="I26" s="1">
        <v>6.0191304</v>
      </c>
      <c r="J26" s="1">
        <v>6.6247826</v>
      </c>
      <c r="K26" s="1">
        <v>7.1491304</v>
      </c>
      <c r="L26" s="1">
        <v>4.6117391</v>
      </c>
      <c r="M26" s="1">
        <v>15101.0</v>
      </c>
      <c r="N26" s="1">
        <v>29.79479658710946</v>
      </c>
      <c r="O26" s="1">
        <v>42.384626</v>
      </c>
      <c r="P26" s="1">
        <v>41.109884</v>
      </c>
      <c r="Q26" s="1">
        <v>28.510087</v>
      </c>
      <c r="R26" s="1">
        <v>48.770856</v>
      </c>
      <c r="S26" s="1">
        <v>23.345789</v>
      </c>
      <c r="T26" s="1">
        <v>13.803492</v>
      </c>
      <c r="U26" s="1">
        <v>28.795914</v>
      </c>
      <c r="V26" s="1">
        <v>34.850259</v>
      </c>
      <c r="W26" s="1">
        <v>62.102007</v>
      </c>
      <c r="X26" s="1">
        <v>54.223108</v>
      </c>
      <c r="Y26" s="4"/>
    </row>
    <row r="27" ht="14.25" customHeight="1">
      <c r="A27" s="1" t="s">
        <v>50</v>
      </c>
      <c r="B27" s="2">
        <v>37302.0</v>
      </c>
      <c r="C27" s="3">
        <v>178.0</v>
      </c>
      <c r="D27" s="1">
        <v>20.66025</v>
      </c>
      <c r="E27" s="1">
        <v>4.950477</v>
      </c>
      <c r="F27" s="1">
        <v>4.6579296</v>
      </c>
      <c r="G27" s="1">
        <v>1.74</v>
      </c>
      <c r="H27" s="1">
        <v>-46.971529</v>
      </c>
      <c r="I27" s="1">
        <v>6.537</v>
      </c>
      <c r="J27" s="1">
        <v>7.0155</v>
      </c>
      <c r="K27" s="1">
        <v>7.4045</v>
      </c>
      <c r="L27" s="1">
        <v>5.734</v>
      </c>
      <c r="M27" s="1">
        <v>15151.0</v>
      </c>
      <c r="N27" s="1">
        <v>30.4502821120259</v>
      </c>
      <c r="O27" s="1">
        <v>42.97801</v>
      </c>
      <c r="P27" s="1">
        <v>41.315433</v>
      </c>
      <c r="Q27" s="1">
        <v>28.567107</v>
      </c>
      <c r="R27" s="1">
        <v>48.917169</v>
      </c>
      <c r="S27" s="1">
        <v>24.279621</v>
      </c>
      <c r="T27" s="1">
        <v>13.817295</v>
      </c>
      <c r="U27" s="1">
        <v>28.853505</v>
      </c>
      <c r="V27" s="1">
        <v>35.303313</v>
      </c>
      <c r="W27" s="1">
        <v>62.971435</v>
      </c>
      <c r="X27" s="1">
        <v>54.765339</v>
      </c>
      <c r="Y27" s="4"/>
    </row>
    <row r="28" ht="14.25" customHeight="1">
      <c r="A28" s="1" t="s">
        <v>51</v>
      </c>
      <c r="B28" s="2">
        <v>37330.0</v>
      </c>
      <c r="C28" s="3">
        <v>178.5</v>
      </c>
      <c r="D28" s="1">
        <v>24.2545238095238</v>
      </c>
      <c r="E28" s="1">
        <v>4.9383978</v>
      </c>
      <c r="F28" s="1">
        <v>4.6466221</v>
      </c>
      <c r="G28" s="1">
        <v>1.73</v>
      </c>
      <c r="H28" s="1">
        <v>-36.707577</v>
      </c>
      <c r="I28" s="1">
        <v>6.63</v>
      </c>
      <c r="J28" s="1">
        <v>7.0857143</v>
      </c>
      <c r="K28" s="1">
        <v>7.4342857</v>
      </c>
      <c r="L28" s="1">
        <v>5.6380952</v>
      </c>
      <c r="M28" s="1">
        <v>15242.0</v>
      </c>
      <c r="N28" s="1">
        <v>30.20667985512968</v>
      </c>
      <c r="O28" s="1">
        <v>42.634186</v>
      </c>
      <c r="P28" s="1">
        <v>41.191487</v>
      </c>
      <c r="Q28" s="1">
        <v>28.224302</v>
      </c>
      <c r="R28" s="1">
        <v>48.770417</v>
      </c>
      <c r="S28" s="1">
        <v>24.012545</v>
      </c>
      <c r="T28" s="1">
        <v>13.803478</v>
      </c>
      <c r="U28" s="1">
        <v>28.795798</v>
      </c>
      <c r="V28" s="1">
        <v>34.95028</v>
      </c>
      <c r="W28" s="1">
        <v>62.215778</v>
      </c>
      <c r="X28" s="1">
        <v>54.272451</v>
      </c>
      <c r="Y28" s="4"/>
    </row>
    <row r="29" ht="14.25" customHeight="1">
      <c r="A29" s="1" t="s">
        <v>52</v>
      </c>
      <c r="B29" s="2">
        <v>37361.0</v>
      </c>
      <c r="C29" s="3">
        <v>179.3</v>
      </c>
      <c r="D29" s="1">
        <v>26.105909090909</v>
      </c>
      <c r="E29" s="1">
        <v>4.9348313</v>
      </c>
      <c r="F29" s="1">
        <v>4.6439911</v>
      </c>
      <c r="G29" s="1">
        <v>1.75</v>
      </c>
      <c r="H29" s="1">
        <v>-35.869518</v>
      </c>
      <c r="I29" s="1">
        <v>7.1109091</v>
      </c>
      <c r="J29" s="1">
        <v>7.5827273</v>
      </c>
      <c r="K29" s="1">
        <v>7.7945455</v>
      </c>
      <c r="L29" s="1">
        <v>6.335</v>
      </c>
      <c r="M29" s="1">
        <v>15214.0</v>
      </c>
      <c r="N29" s="1">
        <v>30.20667985512968</v>
      </c>
      <c r="O29" s="1">
        <v>42.548918</v>
      </c>
      <c r="P29" s="1">
        <v>41.150296</v>
      </c>
      <c r="Q29" s="1">
        <v>28.224302</v>
      </c>
      <c r="R29" s="1">
        <v>48.819188</v>
      </c>
      <c r="S29" s="1">
        <v>24.012545</v>
      </c>
      <c r="T29" s="1">
        <v>13.803478</v>
      </c>
      <c r="U29" s="1">
        <v>28.767003</v>
      </c>
      <c r="V29" s="1">
        <v>34.915329</v>
      </c>
      <c r="W29" s="1">
        <v>61.904699</v>
      </c>
      <c r="X29" s="1">
        <v>54.218179</v>
      </c>
      <c r="Y29" s="4"/>
    </row>
    <row r="30" ht="14.25" customHeight="1">
      <c r="A30" s="1" t="s">
        <v>53</v>
      </c>
      <c r="B30" s="2">
        <v>37391.0</v>
      </c>
      <c r="C30" s="3">
        <v>179.5</v>
      </c>
      <c r="D30" s="1">
        <v>26.2767391304348</v>
      </c>
      <c r="E30" s="1">
        <v>4.9104937</v>
      </c>
      <c r="F30" s="1">
        <v>4.6225097</v>
      </c>
      <c r="G30" s="1">
        <v>1.75</v>
      </c>
      <c r="H30" s="1">
        <v>-39.987444</v>
      </c>
      <c r="I30" s="1">
        <v>6.8169565</v>
      </c>
      <c r="J30" s="1">
        <v>7.3295652</v>
      </c>
      <c r="K30" s="1">
        <v>7.6495652</v>
      </c>
      <c r="L30" s="1">
        <v>5.4091304</v>
      </c>
      <c r="M30" s="1">
        <v>15243.0</v>
      </c>
      <c r="N30" s="1">
        <v>30.29729989469509</v>
      </c>
      <c r="O30" s="1">
        <v>42.719114</v>
      </c>
      <c r="P30" s="1">
        <v>41.067995</v>
      </c>
      <c r="Q30" s="1">
        <v>28.196078</v>
      </c>
      <c r="R30" s="1">
        <v>48.819188</v>
      </c>
      <c r="S30" s="1">
        <v>24.180633</v>
      </c>
      <c r="T30" s="1">
        <v>13.831085</v>
      </c>
      <c r="U30" s="1">
        <v>28.853304</v>
      </c>
      <c r="V30" s="1">
        <v>34.845499</v>
      </c>
      <c r="W30" s="1">
        <v>61.78089</v>
      </c>
      <c r="X30" s="1">
        <v>54.163961</v>
      </c>
      <c r="Y30" s="4"/>
    </row>
    <row r="31" ht="14.25" customHeight="1">
      <c r="A31" s="1" t="s">
        <v>54</v>
      </c>
      <c r="B31" s="2">
        <v>37422.0</v>
      </c>
      <c r="C31" s="3">
        <v>179.6</v>
      </c>
      <c r="D31" s="1">
        <v>24.9445</v>
      </c>
      <c r="E31" s="1">
        <v>4.8849842</v>
      </c>
      <c r="F31" s="1">
        <v>4.5987765</v>
      </c>
      <c r="G31" s="1">
        <v>1.75</v>
      </c>
      <c r="H31" s="1">
        <v>-43.626335</v>
      </c>
      <c r="I31" s="1">
        <v>6.5785</v>
      </c>
      <c r="J31" s="1">
        <v>7.2115</v>
      </c>
      <c r="K31" s="1">
        <v>7.5665</v>
      </c>
      <c r="L31" s="1">
        <v>5.241</v>
      </c>
      <c r="M31" s="1">
        <v>15303.0</v>
      </c>
      <c r="N31" s="1">
        <v>30.32759719458978</v>
      </c>
      <c r="O31" s="1">
        <v>42.761833</v>
      </c>
      <c r="P31" s="1">
        <v>41.067995</v>
      </c>
      <c r="Q31" s="1">
        <v>28.280666</v>
      </c>
      <c r="R31" s="1">
        <v>48.819188</v>
      </c>
      <c r="S31" s="1">
        <v>24.228994</v>
      </c>
      <c r="T31" s="1">
        <v>13.831085</v>
      </c>
      <c r="U31" s="1">
        <v>28.99757</v>
      </c>
      <c r="V31" s="1">
        <v>34.845499</v>
      </c>
      <c r="W31" s="1">
        <v>61.78089</v>
      </c>
      <c r="X31" s="1">
        <v>54.163961</v>
      </c>
      <c r="Y31" s="4"/>
    </row>
    <row r="32" ht="14.25" customHeight="1">
      <c r="A32" s="1" t="s">
        <v>55</v>
      </c>
      <c r="B32" s="2">
        <v>37452.0</v>
      </c>
      <c r="C32" s="3">
        <v>180.0</v>
      </c>
      <c r="D32" s="1">
        <v>26.3939130434782</v>
      </c>
      <c r="E32" s="1">
        <v>4.8605395</v>
      </c>
      <c r="F32" s="1">
        <v>4.5763895</v>
      </c>
      <c r="G32" s="1">
        <v>1.73</v>
      </c>
      <c r="H32" s="1">
        <v>-44.390031</v>
      </c>
      <c r="I32" s="1">
        <v>7.1956522</v>
      </c>
      <c r="J32" s="1">
        <v>7.736087</v>
      </c>
      <c r="K32" s="1">
        <v>8.036087</v>
      </c>
      <c r="L32" s="1">
        <v>6.1113043</v>
      </c>
      <c r="M32" s="1">
        <v>15303.0</v>
      </c>
      <c r="N32" s="1">
        <v>30.2972695973952</v>
      </c>
      <c r="O32" s="1">
        <v>42.847356</v>
      </c>
      <c r="P32" s="1">
        <v>41.026927</v>
      </c>
      <c r="Q32" s="1">
        <v>28.506911</v>
      </c>
      <c r="R32" s="1">
        <v>48.819188</v>
      </c>
      <c r="S32" s="1">
        <v>24.132078</v>
      </c>
      <c r="T32" s="1">
        <v>13.844916</v>
      </c>
      <c r="U32" s="1">
        <v>29.055565</v>
      </c>
      <c r="V32" s="1">
        <v>34.740962</v>
      </c>
      <c r="W32" s="1">
        <v>61.163081</v>
      </c>
      <c r="X32" s="1">
        <v>54.163961</v>
      </c>
      <c r="Y32" s="4"/>
    </row>
    <row r="33" ht="14.25" customHeight="1">
      <c r="A33" s="1" t="s">
        <v>56</v>
      </c>
      <c r="B33" s="2">
        <v>37483.0</v>
      </c>
      <c r="C33" s="3">
        <v>180.5</v>
      </c>
      <c r="D33" s="1">
        <v>27.5006818181818</v>
      </c>
      <c r="E33" s="1">
        <v>4.8691492</v>
      </c>
      <c r="F33" s="1">
        <v>4.5865035</v>
      </c>
      <c r="G33" s="1">
        <v>1.74</v>
      </c>
      <c r="H33" s="1">
        <v>-43.095588</v>
      </c>
      <c r="I33" s="1">
        <v>7.2827273</v>
      </c>
      <c r="J33" s="1">
        <v>7.9109091</v>
      </c>
      <c r="K33" s="1">
        <v>8.225</v>
      </c>
      <c r="L33" s="1">
        <v>6.0036364</v>
      </c>
      <c r="M33" s="1">
        <v>15329.0</v>
      </c>
      <c r="N33" s="1">
        <v>30.32756686699255</v>
      </c>
      <c r="O33" s="1">
        <v>42.933051</v>
      </c>
      <c r="P33" s="1">
        <v>41.067954</v>
      </c>
      <c r="Q33" s="1">
        <v>28.33587</v>
      </c>
      <c r="R33" s="1">
        <v>48.868007</v>
      </c>
      <c r="S33" s="1">
        <v>24.132078</v>
      </c>
      <c r="T33" s="1">
        <v>13.817226</v>
      </c>
      <c r="U33" s="1">
        <v>29.113676</v>
      </c>
      <c r="V33" s="1">
        <v>34.845185</v>
      </c>
      <c r="W33" s="1">
        <v>61.407733</v>
      </c>
      <c r="X33" s="1">
        <v>54.218125</v>
      </c>
      <c r="Y33" s="4"/>
    </row>
    <row r="34" ht="14.25" customHeight="1">
      <c r="A34" s="1" t="s">
        <v>57</v>
      </c>
      <c r="B34" s="2">
        <v>37514.0</v>
      </c>
      <c r="C34" s="3">
        <v>180.8</v>
      </c>
      <c r="D34" s="1">
        <v>29.0019047619047</v>
      </c>
      <c r="E34" s="1">
        <v>4.872445</v>
      </c>
      <c r="F34" s="1">
        <v>4.5916108</v>
      </c>
      <c r="G34" s="1">
        <v>1.75</v>
      </c>
      <c r="H34" s="1">
        <v>-26.575886</v>
      </c>
      <c r="I34" s="1">
        <v>7.027619</v>
      </c>
      <c r="J34" s="1">
        <v>7.7666667</v>
      </c>
      <c r="K34" s="1">
        <v>8.072381</v>
      </c>
      <c r="L34" s="1">
        <v>5.6885714</v>
      </c>
      <c r="M34" s="1">
        <v>15339.0</v>
      </c>
      <c r="N34" s="1">
        <v>30.38822200072656</v>
      </c>
      <c r="O34" s="1">
        <v>43.06185</v>
      </c>
      <c r="P34" s="1">
        <v>41.232226</v>
      </c>
      <c r="Q34" s="1">
        <v>28.449213</v>
      </c>
      <c r="R34" s="1">
        <v>48.916875</v>
      </c>
      <c r="S34" s="1">
        <v>24.204474</v>
      </c>
      <c r="T34" s="1">
        <v>13.803409</v>
      </c>
      <c r="U34" s="1">
        <v>29.230131</v>
      </c>
      <c r="V34" s="1">
        <v>34.88003</v>
      </c>
      <c r="W34" s="1">
        <v>61.407733</v>
      </c>
      <c r="X34" s="1">
        <v>54.218125</v>
      </c>
      <c r="Y34" s="4"/>
    </row>
    <row r="35" ht="14.25" customHeight="1">
      <c r="A35" s="1" t="s">
        <v>58</v>
      </c>
      <c r="B35" s="2">
        <v>37544.0</v>
      </c>
      <c r="C35" s="3">
        <v>181.2</v>
      </c>
      <c r="D35" s="1">
        <v>28.1882608695652</v>
      </c>
      <c r="E35" s="1">
        <v>4.8809838</v>
      </c>
      <c r="F35" s="1">
        <v>4.6048992</v>
      </c>
      <c r="G35" s="1">
        <v>1.75</v>
      </c>
      <c r="H35" s="1">
        <v>-12.237453</v>
      </c>
      <c r="I35" s="1">
        <v>7.1365217</v>
      </c>
      <c r="J35" s="1">
        <v>7.8473913</v>
      </c>
      <c r="K35" s="1">
        <v>8.2095652</v>
      </c>
      <c r="L35" s="1">
        <v>5.7382609</v>
      </c>
      <c r="M35" s="1">
        <v>15357.0</v>
      </c>
      <c r="N35" s="1">
        <v>30.4793866667287</v>
      </c>
      <c r="O35" s="1">
        <v>43.320221</v>
      </c>
      <c r="P35" s="1">
        <v>41.232226</v>
      </c>
      <c r="Q35" s="1">
        <v>28.619909</v>
      </c>
      <c r="R35" s="1">
        <v>48.867958</v>
      </c>
      <c r="S35" s="1">
        <v>24.156065</v>
      </c>
      <c r="T35" s="1">
        <v>13.803409</v>
      </c>
      <c r="U35" s="1">
        <v>30.136265</v>
      </c>
      <c r="V35" s="1">
        <v>35.08931</v>
      </c>
      <c r="W35" s="1">
        <v>61.284918</v>
      </c>
      <c r="X35" s="1">
        <v>54.760306</v>
      </c>
      <c r="Y35" s="4"/>
    </row>
    <row r="36" ht="14.25" customHeight="1">
      <c r="A36" s="1" t="s">
        <v>59</v>
      </c>
      <c r="B36" s="2">
        <v>37575.0</v>
      </c>
      <c r="C36" s="3">
        <v>181.5</v>
      </c>
      <c r="D36" s="1">
        <v>25.287619047619</v>
      </c>
      <c r="E36" s="1">
        <v>4.867371</v>
      </c>
      <c r="F36" s="1">
        <v>4.591918</v>
      </c>
      <c r="G36" s="1">
        <v>1.34</v>
      </c>
      <c r="H36" s="1">
        <v>-5.5099006</v>
      </c>
      <c r="I36" s="1">
        <v>6.9109524</v>
      </c>
      <c r="J36" s="1">
        <v>7.667619</v>
      </c>
      <c r="K36" s="1">
        <v>8.1166667</v>
      </c>
      <c r="L36" s="1">
        <v>5.3642857</v>
      </c>
      <c r="M36" s="1">
        <v>15376.0</v>
      </c>
      <c r="N36" s="1">
        <v>30.57082482672898</v>
      </c>
      <c r="O36" s="1">
        <v>43.450182</v>
      </c>
      <c r="P36" s="1">
        <v>41.273458</v>
      </c>
      <c r="Q36" s="1">
        <v>28.763008</v>
      </c>
      <c r="R36" s="1">
        <v>48.867958</v>
      </c>
      <c r="S36" s="1">
        <v>24.156065</v>
      </c>
      <c r="T36" s="1">
        <v>13.817212</v>
      </c>
      <c r="U36" s="1">
        <v>30.708854</v>
      </c>
      <c r="V36" s="1">
        <v>35.1244</v>
      </c>
      <c r="W36" s="1">
        <v>61.407488</v>
      </c>
      <c r="X36" s="1">
        <v>55.088868</v>
      </c>
      <c r="Y36" s="4"/>
    </row>
    <row r="37" ht="14.25" customHeight="1">
      <c r="A37" s="1" t="s">
        <v>60</v>
      </c>
      <c r="B37" s="2">
        <v>37605.0</v>
      </c>
      <c r="C37" s="3">
        <v>181.8</v>
      </c>
      <c r="D37" s="1">
        <v>28.9329545454545</v>
      </c>
      <c r="E37" s="1">
        <v>4.8588062</v>
      </c>
      <c r="F37" s="1">
        <v>4.5824492</v>
      </c>
      <c r="G37" s="1">
        <v>1.24</v>
      </c>
      <c r="H37" s="1">
        <v>7.6886347</v>
      </c>
      <c r="I37" s="1">
        <v>6.7622727</v>
      </c>
      <c r="J37" s="1">
        <v>7.5395455</v>
      </c>
      <c r="K37" s="1">
        <v>7.9986364</v>
      </c>
      <c r="L37" s="1">
        <v>5.1631818</v>
      </c>
      <c r="M37" s="1">
        <v>15396.0</v>
      </c>
      <c r="N37" s="1">
        <v>30.66253730120911</v>
      </c>
      <c r="O37" s="1">
        <v>43.754333</v>
      </c>
      <c r="P37" s="1">
        <v>41.314731</v>
      </c>
      <c r="Q37" s="1">
        <v>28.849297</v>
      </c>
      <c r="R37" s="1">
        <v>48.965694</v>
      </c>
      <c r="S37" s="1">
        <v>24.228533</v>
      </c>
      <c r="T37" s="1">
        <v>13.844847</v>
      </c>
      <c r="U37" s="1">
        <v>30.862399</v>
      </c>
      <c r="V37" s="1">
        <v>35.229773</v>
      </c>
      <c r="W37" s="1">
        <v>61.34608</v>
      </c>
      <c r="X37" s="1">
        <v>55.088868</v>
      </c>
      <c r="Y37" s="4"/>
    </row>
    <row r="38" ht="14.25" customHeight="1">
      <c r="A38" s="1" t="s">
        <v>61</v>
      </c>
      <c r="B38" s="2">
        <v>37636.0</v>
      </c>
      <c r="C38" s="3">
        <v>182.6</v>
      </c>
      <c r="D38" s="1">
        <v>31.8602173913043</v>
      </c>
      <c r="E38" s="1">
        <v>4.8338444</v>
      </c>
      <c r="F38" s="1">
        <v>4.5571155</v>
      </c>
      <c r="G38" s="1">
        <v>1.24</v>
      </c>
      <c r="H38" s="1">
        <v>9.0810385</v>
      </c>
      <c r="I38" s="1">
        <v>6.953913</v>
      </c>
      <c r="J38" s="1">
        <v>7.6173913</v>
      </c>
      <c r="K38" s="1">
        <v>7.9752174</v>
      </c>
      <c r="L38" s="1">
        <v>5.8521739</v>
      </c>
      <c r="M38" s="1">
        <v>15433.0</v>
      </c>
      <c r="N38" s="1">
        <v>30.93850013692004</v>
      </c>
      <c r="O38" s="1">
        <v>44.148122</v>
      </c>
      <c r="P38" s="1">
        <v>41.645249</v>
      </c>
      <c r="Q38" s="1">
        <v>28.935845</v>
      </c>
      <c r="R38" s="1">
        <v>49.112591</v>
      </c>
      <c r="S38" s="1">
        <v>24.543504</v>
      </c>
      <c r="T38" s="1">
        <v>13.941761</v>
      </c>
      <c r="U38" s="1">
        <v>31.047573</v>
      </c>
      <c r="V38" s="1">
        <v>35.441151</v>
      </c>
      <c r="W38" s="1">
        <v>61.530118</v>
      </c>
      <c r="X38" s="1">
        <v>55.309223</v>
      </c>
      <c r="Y38" s="4"/>
    </row>
    <row r="39" ht="14.25" customHeight="1">
      <c r="A39" s="1" t="s">
        <v>62</v>
      </c>
      <c r="B39" s="2">
        <v>37667.0</v>
      </c>
      <c r="C39" s="3">
        <v>183.6</v>
      </c>
      <c r="D39" s="1">
        <v>34.28875</v>
      </c>
      <c r="E39" s="1">
        <v>4.8332092</v>
      </c>
      <c r="F39" s="1">
        <v>4.5596513</v>
      </c>
      <c r="G39" s="1">
        <v>1.26</v>
      </c>
      <c r="H39" s="1">
        <v>7.5120024</v>
      </c>
      <c r="I39" s="1">
        <v>7.0205</v>
      </c>
      <c r="J39" s="1">
        <v>7.648</v>
      </c>
      <c r="K39" s="1">
        <v>8.019</v>
      </c>
      <c r="L39" s="1">
        <v>5.491</v>
      </c>
      <c r="M39" s="1">
        <v>15418.0</v>
      </c>
      <c r="N39" s="1">
        <v>31.61914713993222</v>
      </c>
      <c r="O39" s="1">
        <v>45.119381</v>
      </c>
      <c r="P39" s="1">
        <v>41.895121</v>
      </c>
      <c r="Q39" s="1">
        <v>28.964781</v>
      </c>
      <c r="R39" s="1">
        <v>49.210816</v>
      </c>
      <c r="S39" s="1">
        <v>25.377984</v>
      </c>
      <c r="T39" s="1">
        <v>14.011469</v>
      </c>
      <c r="U39" s="1">
        <v>31.202811</v>
      </c>
      <c r="V39" s="1">
        <v>36.185416</v>
      </c>
      <c r="W39" s="1">
        <v>62.33001</v>
      </c>
      <c r="X39" s="1">
        <v>56.028243</v>
      </c>
      <c r="Y39" s="4"/>
    </row>
    <row r="40" ht="14.25" customHeight="1">
      <c r="A40" s="1" t="s">
        <v>63</v>
      </c>
      <c r="B40" s="2">
        <v>37695.0</v>
      </c>
      <c r="C40" s="3">
        <v>183.9</v>
      </c>
      <c r="D40" s="1">
        <v>31.6935714285714</v>
      </c>
      <c r="E40" s="1">
        <v>4.833669</v>
      </c>
      <c r="F40" s="1">
        <v>4.5605511</v>
      </c>
      <c r="G40" s="1">
        <v>1.25</v>
      </c>
      <c r="H40" s="1">
        <v>17.510481</v>
      </c>
      <c r="I40" s="1">
        <v>6.8709524</v>
      </c>
      <c r="J40" s="1">
        <v>7.5514286</v>
      </c>
      <c r="K40" s="1">
        <v>7.9171429</v>
      </c>
      <c r="L40" s="1">
        <v>4.7961905</v>
      </c>
      <c r="M40" s="1">
        <v>15427.0</v>
      </c>
      <c r="N40" s="1">
        <v>31.42943225709263</v>
      </c>
      <c r="O40" s="1">
        <v>44.848665</v>
      </c>
      <c r="P40" s="1">
        <v>41.811331</v>
      </c>
      <c r="Q40" s="1">
        <v>28.964781</v>
      </c>
      <c r="R40" s="1">
        <v>49.309238</v>
      </c>
      <c r="S40" s="1">
        <v>24.895802</v>
      </c>
      <c r="T40" s="1">
        <v>15.146398</v>
      </c>
      <c r="U40" s="1">
        <v>31.795664</v>
      </c>
      <c r="V40" s="1">
        <v>35.787376</v>
      </c>
      <c r="W40" s="1">
        <v>61.45739</v>
      </c>
      <c r="X40" s="1">
        <v>56.420441</v>
      </c>
      <c r="Y40" s="4"/>
    </row>
    <row r="41" ht="14.25" customHeight="1">
      <c r="A41" s="1" t="s">
        <v>64</v>
      </c>
      <c r="B41" s="2">
        <v>37726.0</v>
      </c>
      <c r="C41" s="3">
        <v>183.2</v>
      </c>
      <c r="D41" s="1">
        <v>26.6963636363636</v>
      </c>
      <c r="E41" s="1">
        <v>4.831925</v>
      </c>
      <c r="F41" s="1">
        <v>4.5609643</v>
      </c>
      <c r="G41" s="1">
        <v>1.26</v>
      </c>
      <c r="H41" s="1">
        <v>29.002647</v>
      </c>
      <c r="I41" s="1">
        <v>7.0086364</v>
      </c>
      <c r="J41" s="1">
        <v>7.8404545</v>
      </c>
      <c r="K41" s="1">
        <v>8.2127273</v>
      </c>
      <c r="L41" s="1">
        <v>5.205</v>
      </c>
      <c r="M41" s="1">
        <v>15452.0</v>
      </c>
      <c r="N41" s="1">
        <v>31.42943225709263</v>
      </c>
      <c r="O41" s="1">
        <v>44.758967</v>
      </c>
      <c r="P41" s="1">
        <v>41.978576</v>
      </c>
      <c r="Q41" s="1">
        <v>28.993746</v>
      </c>
      <c r="R41" s="1">
        <v>49.358547</v>
      </c>
      <c r="S41" s="1">
        <v>24.821114</v>
      </c>
      <c r="T41" s="1">
        <v>15.540205</v>
      </c>
      <c r="U41" s="1">
        <v>31.922847</v>
      </c>
      <c r="V41" s="1">
        <v>35.823163</v>
      </c>
      <c r="W41" s="1">
        <v>61.395932</v>
      </c>
      <c r="X41" s="1">
        <v>56.3076</v>
      </c>
      <c r="Y41" s="4"/>
    </row>
    <row r="42" ht="14.25" customHeight="1">
      <c r="A42" s="1" t="s">
        <v>65</v>
      </c>
      <c r="B42" s="2">
        <v>37756.0</v>
      </c>
      <c r="C42" s="3">
        <v>182.9</v>
      </c>
      <c r="D42" s="1">
        <v>26.9690909090909</v>
      </c>
      <c r="E42" s="1">
        <v>4.7984037</v>
      </c>
      <c r="F42" s="1">
        <v>4.5282571</v>
      </c>
      <c r="G42" s="1">
        <v>1.26</v>
      </c>
      <c r="H42" s="1">
        <v>37.111721</v>
      </c>
      <c r="I42" s="1">
        <v>7.1331818</v>
      </c>
      <c r="J42" s="1">
        <v>7.9168182</v>
      </c>
      <c r="K42" s="1">
        <v>8.2640909</v>
      </c>
      <c r="L42" s="1">
        <v>5.4795455</v>
      </c>
      <c r="M42" s="1">
        <v>15478.0</v>
      </c>
      <c r="N42" s="1">
        <v>31.39800282483555</v>
      </c>
      <c r="O42" s="1">
        <v>44.669449</v>
      </c>
      <c r="P42" s="1">
        <v>42.188469</v>
      </c>
      <c r="Q42" s="1">
        <v>28.993746</v>
      </c>
      <c r="R42" s="1">
        <v>49.457264</v>
      </c>
      <c r="S42" s="1">
        <v>24.746651</v>
      </c>
      <c r="T42" s="1">
        <v>15.742227</v>
      </c>
      <c r="U42" s="1">
        <v>31.763233</v>
      </c>
      <c r="V42" s="1">
        <v>35.930633</v>
      </c>
      <c r="W42" s="1">
        <v>61.211745</v>
      </c>
      <c r="X42" s="1">
        <v>56.194985</v>
      </c>
      <c r="Y42" s="4"/>
    </row>
    <row r="43" ht="14.25" customHeight="1">
      <c r="A43" s="1" t="s">
        <v>66</v>
      </c>
      <c r="B43" s="2">
        <v>37787.0</v>
      </c>
      <c r="C43" s="3">
        <v>183.1</v>
      </c>
      <c r="D43" s="1">
        <v>29.1457142857143</v>
      </c>
      <c r="E43" s="1">
        <v>4.7946316</v>
      </c>
      <c r="F43" s="1">
        <v>4.5235119</v>
      </c>
      <c r="G43" s="1">
        <v>1.22</v>
      </c>
      <c r="H43" s="1">
        <v>32.815709</v>
      </c>
      <c r="I43" s="1">
        <v>7.0338095</v>
      </c>
      <c r="J43" s="1">
        <v>7.7880952</v>
      </c>
      <c r="K43" s="1">
        <v>8.2666667</v>
      </c>
      <c r="L43" s="1">
        <v>5.1090476</v>
      </c>
      <c r="M43" s="1">
        <v>15486.0</v>
      </c>
      <c r="N43" s="1">
        <v>31.30380881636108</v>
      </c>
      <c r="O43" s="1">
        <v>44.669449</v>
      </c>
      <c r="P43" s="1">
        <v>42.188469</v>
      </c>
      <c r="Q43" s="1">
        <v>29.138714</v>
      </c>
      <c r="R43" s="1">
        <v>49.506721</v>
      </c>
      <c r="S43" s="1">
        <v>24.622918</v>
      </c>
      <c r="T43" s="1">
        <v>15.710743</v>
      </c>
      <c r="U43" s="1">
        <v>31.63618</v>
      </c>
      <c r="V43" s="1">
        <v>35.966564</v>
      </c>
      <c r="W43" s="1">
        <v>61.089321</v>
      </c>
      <c r="X43" s="1">
        <v>56.13879</v>
      </c>
      <c r="Y43" s="4"/>
    </row>
    <row r="44" ht="14.25" customHeight="1">
      <c r="A44" s="1" t="s">
        <v>67</v>
      </c>
      <c r="B44" s="2">
        <v>37817.0</v>
      </c>
      <c r="C44" s="3">
        <v>183.7</v>
      </c>
      <c r="D44" s="1">
        <v>29.625652173913</v>
      </c>
      <c r="E44" s="1">
        <v>4.8023983</v>
      </c>
      <c r="F44" s="1">
        <v>4.5312197</v>
      </c>
      <c r="G44" s="1">
        <v>1.01</v>
      </c>
      <c r="H44" s="1">
        <v>35.241277</v>
      </c>
      <c r="I44" s="1">
        <v>6.7856522</v>
      </c>
      <c r="J44" s="1">
        <v>7.563913</v>
      </c>
      <c r="K44" s="1">
        <v>8.0056522</v>
      </c>
      <c r="L44" s="1">
        <v>4.6673913</v>
      </c>
      <c r="M44" s="1">
        <v>15510.0</v>
      </c>
      <c r="N44" s="1">
        <v>31.20989738991198</v>
      </c>
      <c r="O44" s="1">
        <v>44.669449</v>
      </c>
      <c r="P44" s="1">
        <v>42.188469</v>
      </c>
      <c r="Q44" s="1">
        <v>29.138714</v>
      </c>
      <c r="R44" s="1">
        <v>49.506721</v>
      </c>
      <c r="S44" s="1">
        <v>24.499803</v>
      </c>
      <c r="T44" s="1">
        <v>15.773586</v>
      </c>
      <c r="U44" s="1">
        <v>31.699452</v>
      </c>
      <c r="V44" s="1">
        <v>35.966564</v>
      </c>
      <c r="W44" s="1">
        <v>60.844964</v>
      </c>
      <c r="X44" s="1">
        <v>56.082651</v>
      </c>
      <c r="Y44" s="4"/>
    </row>
    <row r="45" ht="14.25" customHeight="1">
      <c r="A45" s="1" t="s">
        <v>68</v>
      </c>
      <c r="B45" s="2">
        <v>37848.0</v>
      </c>
      <c r="C45" s="3">
        <v>184.5</v>
      </c>
      <c r="D45" s="1">
        <v>30.655</v>
      </c>
      <c r="E45" s="1">
        <v>4.8098034</v>
      </c>
      <c r="F45" s="1">
        <v>4.5378533</v>
      </c>
      <c r="G45" s="1">
        <v>1.03</v>
      </c>
      <c r="H45" s="1">
        <v>39.170427</v>
      </c>
      <c r="I45" s="1">
        <v>6.242381</v>
      </c>
      <c r="J45" s="1">
        <v>6.8604762</v>
      </c>
      <c r="K45" s="1">
        <v>7.5414286</v>
      </c>
      <c r="L45" s="1">
        <v>4.3690476</v>
      </c>
      <c r="M45" s="1">
        <v>15519.0</v>
      </c>
      <c r="N45" s="1">
        <v>31.17868749252203</v>
      </c>
      <c r="O45" s="1">
        <v>44.714119</v>
      </c>
      <c r="P45" s="1">
        <v>42.188469</v>
      </c>
      <c r="Q45" s="1">
        <v>29.22613</v>
      </c>
      <c r="R45" s="1">
        <v>49.358201</v>
      </c>
      <c r="S45" s="1">
        <v>24.450804</v>
      </c>
      <c r="T45" s="1">
        <v>15.820907</v>
      </c>
      <c r="U45" s="1">
        <v>31.762851</v>
      </c>
      <c r="V45" s="1">
        <v>36.00253</v>
      </c>
      <c r="W45" s="1">
        <v>60.784119</v>
      </c>
      <c r="X45" s="1">
        <v>56.026568</v>
      </c>
      <c r="Y45" s="4"/>
    </row>
    <row r="46" ht="14.25" customHeight="1">
      <c r="A46" s="1" t="s">
        <v>69</v>
      </c>
      <c r="B46" s="2">
        <v>37879.0</v>
      </c>
      <c r="C46" s="3">
        <v>185.1</v>
      </c>
      <c r="D46" s="1">
        <v>27.7477272727272</v>
      </c>
      <c r="E46" s="1">
        <v>4.7970294</v>
      </c>
      <c r="F46" s="1">
        <v>4.5254269</v>
      </c>
      <c r="G46" s="1">
        <v>1.01</v>
      </c>
      <c r="H46" s="1">
        <v>46.468184</v>
      </c>
      <c r="I46" s="1">
        <v>5.8045455</v>
      </c>
      <c r="J46" s="1">
        <v>6.8595455</v>
      </c>
      <c r="K46" s="1">
        <v>7.3304545</v>
      </c>
      <c r="L46" s="1">
        <v>4.1931818</v>
      </c>
      <c r="M46" s="1">
        <v>15537.0</v>
      </c>
      <c r="N46" s="1">
        <v>31.20986618001463</v>
      </c>
      <c r="O46" s="1">
        <v>44.758833</v>
      </c>
      <c r="P46" s="1">
        <v>42.272846</v>
      </c>
      <c r="Q46" s="1">
        <v>29.810653</v>
      </c>
      <c r="R46" s="1">
        <v>49.358201</v>
      </c>
      <c r="S46" s="1">
        <v>24.426353</v>
      </c>
      <c r="T46" s="1">
        <v>16.248071</v>
      </c>
      <c r="U46" s="1">
        <v>31.794614</v>
      </c>
      <c r="V46" s="1">
        <v>36.038533</v>
      </c>
      <c r="W46" s="1">
        <v>60.662551</v>
      </c>
      <c r="X46" s="1">
        <v>56.026568</v>
      </c>
      <c r="Y46" s="4"/>
    </row>
    <row r="47" ht="14.25" customHeight="1">
      <c r="A47" s="1" t="s">
        <v>70</v>
      </c>
      <c r="B47" s="2">
        <v>37909.0</v>
      </c>
      <c r="C47" s="3">
        <v>184.9</v>
      </c>
      <c r="D47" s="1">
        <v>29.8832608695652</v>
      </c>
      <c r="E47" s="1">
        <v>4.7693434</v>
      </c>
      <c r="F47" s="1">
        <v>4.497932</v>
      </c>
      <c r="G47" s="1">
        <v>1.01</v>
      </c>
      <c r="H47" s="1">
        <v>99.226654</v>
      </c>
      <c r="I47" s="1">
        <v>5.323913</v>
      </c>
      <c r="J47" s="1">
        <v>6.3443478</v>
      </c>
      <c r="K47" s="1">
        <v>7.1052174</v>
      </c>
      <c r="L47" s="1">
        <v>3.8604348</v>
      </c>
      <c r="M47" s="1">
        <v>15573.0</v>
      </c>
      <c r="N47" s="1">
        <v>31.1474464476546</v>
      </c>
      <c r="O47" s="1">
        <v>44.893109</v>
      </c>
      <c r="P47" s="1">
        <v>42.315119</v>
      </c>
      <c r="Q47" s="1">
        <v>30.13857</v>
      </c>
      <c r="R47" s="1">
        <v>49.456917</v>
      </c>
      <c r="S47" s="1">
        <v>24.426353</v>
      </c>
      <c r="T47" s="1">
        <v>16.573033</v>
      </c>
      <c r="U47" s="1">
        <v>31.794614</v>
      </c>
      <c r="V47" s="1">
        <v>36.038533</v>
      </c>
      <c r="W47" s="1">
        <v>60.662551</v>
      </c>
      <c r="X47" s="1">
        <v>54.177692</v>
      </c>
      <c r="Y47" s="4"/>
    </row>
    <row r="48" ht="14.25" customHeight="1">
      <c r="A48" s="1" t="s">
        <v>71</v>
      </c>
      <c r="B48" s="2">
        <v>37940.0</v>
      </c>
      <c r="C48" s="3">
        <v>185.0</v>
      </c>
      <c r="D48" s="1">
        <v>29.9555</v>
      </c>
      <c r="E48" s="1">
        <v>4.7652754</v>
      </c>
      <c r="F48" s="1">
        <v>4.4987558</v>
      </c>
      <c r="G48" s="1">
        <v>1.0</v>
      </c>
      <c r="H48" s="1">
        <v>101.40566</v>
      </c>
      <c r="I48" s="1">
        <v>5.22</v>
      </c>
      <c r="J48" s="1">
        <v>6.303</v>
      </c>
      <c r="K48" s="1">
        <v>7.111</v>
      </c>
      <c r="L48" s="1">
        <v>3.722</v>
      </c>
      <c r="M48" s="1">
        <v>15639.0</v>
      </c>
      <c r="N48" s="1">
        <v>31.33433112634045</v>
      </c>
      <c r="O48" s="1">
        <v>45.027789</v>
      </c>
      <c r="P48" s="1">
        <v>42.526694</v>
      </c>
      <c r="Q48" s="1">
        <v>30.259125</v>
      </c>
      <c r="R48" s="1">
        <v>49.704202</v>
      </c>
      <c r="S48" s="1">
        <v>24.64619</v>
      </c>
      <c r="T48" s="1">
        <v>16.72219</v>
      </c>
      <c r="U48" s="1">
        <v>31.953587</v>
      </c>
      <c r="V48" s="1">
        <v>36.146648</v>
      </c>
      <c r="W48" s="1">
        <v>60.4199</v>
      </c>
      <c r="X48" s="1">
        <v>53.906803</v>
      </c>
      <c r="Y48" s="4"/>
    </row>
    <row r="49" ht="14.25" customHeight="1">
      <c r="A49" s="1" t="s">
        <v>72</v>
      </c>
      <c r="B49" s="2">
        <v>37970.0</v>
      </c>
      <c r="C49" s="3">
        <v>185.5</v>
      </c>
      <c r="D49" s="1">
        <v>30.9739130434783</v>
      </c>
      <c r="E49" s="1">
        <v>4.7459454</v>
      </c>
      <c r="F49" s="1">
        <v>4.4838069</v>
      </c>
      <c r="G49" s="1">
        <v>0.98</v>
      </c>
      <c r="H49" s="1">
        <v>109.40973</v>
      </c>
      <c r="I49" s="1">
        <v>5.3686957</v>
      </c>
      <c r="J49" s="1">
        <v>6.5130435</v>
      </c>
      <c r="K49" s="1">
        <v>7.3721739</v>
      </c>
      <c r="L49" s="1">
        <v>3.7752174</v>
      </c>
      <c r="M49" s="1">
        <v>15643.0</v>
      </c>
      <c r="N49" s="1">
        <v>31.58500577535124</v>
      </c>
      <c r="O49" s="1">
        <v>45.297955</v>
      </c>
      <c r="P49" s="1">
        <v>42.739328</v>
      </c>
      <c r="Q49" s="1">
        <v>30.289384</v>
      </c>
      <c r="R49" s="1">
        <v>49.903019</v>
      </c>
      <c r="S49" s="1">
        <v>24.917298</v>
      </c>
      <c r="T49" s="1">
        <v>16.738912</v>
      </c>
      <c r="U49" s="1">
        <v>32.145308</v>
      </c>
      <c r="V49" s="1">
        <v>36.761141</v>
      </c>
      <c r="W49" s="1">
        <v>60.54074</v>
      </c>
      <c r="X49" s="1">
        <v>54.014617</v>
      </c>
      <c r="Y49" s="4"/>
    </row>
    <row r="50" ht="14.25" customHeight="1">
      <c r="A50" s="1" t="s">
        <v>73</v>
      </c>
      <c r="B50" s="2">
        <v>38001.0</v>
      </c>
      <c r="C50" s="3">
        <v>186.3</v>
      </c>
      <c r="D50" s="1">
        <v>32.5640909090909</v>
      </c>
      <c r="E50" s="1">
        <v>4.7289882</v>
      </c>
      <c r="F50" s="1">
        <v>4.4690233</v>
      </c>
      <c r="G50" s="1">
        <v>1.0</v>
      </c>
      <c r="H50" s="1">
        <v>121.76508</v>
      </c>
      <c r="I50" s="1">
        <v>5.805</v>
      </c>
      <c r="J50" s="1">
        <v>6.6036364</v>
      </c>
      <c r="K50" s="1">
        <v>7.1436364</v>
      </c>
      <c r="L50" s="1">
        <v>4.2827273</v>
      </c>
      <c r="M50" s="1">
        <v>15670.0</v>
      </c>
      <c r="N50" s="1">
        <v>31.93244083888003</v>
      </c>
      <c r="O50" s="1">
        <v>46.611596</v>
      </c>
      <c r="P50" s="1">
        <v>43.2522</v>
      </c>
      <c r="Q50" s="1">
        <v>30.349962</v>
      </c>
      <c r="R50" s="1">
        <v>50.152534</v>
      </c>
      <c r="S50" s="1">
        <v>25.315975</v>
      </c>
      <c r="T50" s="1">
        <v>16.856084</v>
      </c>
      <c r="U50" s="1">
        <v>32.402471</v>
      </c>
      <c r="V50" s="1">
        <v>37.091992</v>
      </c>
      <c r="W50" s="1">
        <v>60.782903</v>
      </c>
      <c r="X50" s="1">
        <v>54.014617</v>
      </c>
      <c r="Y50" s="4"/>
    </row>
    <row r="51" ht="14.25" customHeight="1">
      <c r="A51" s="1" t="s">
        <v>74</v>
      </c>
      <c r="B51" s="2">
        <v>38032.0</v>
      </c>
      <c r="C51" s="3">
        <v>186.7</v>
      </c>
      <c r="D51" s="1">
        <v>32.7585</v>
      </c>
      <c r="E51" s="1">
        <v>4.721681</v>
      </c>
      <c r="F51" s="1">
        <v>4.472508</v>
      </c>
      <c r="G51" s="1">
        <v>1.01</v>
      </c>
      <c r="H51" s="1">
        <v>125.85494</v>
      </c>
      <c r="I51" s="1">
        <v>5.5035</v>
      </c>
      <c r="J51" s="1">
        <v>6.434</v>
      </c>
      <c r="K51" s="1">
        <v>6.9175</v>
      </c>
      <c r="L51" s="1">
        <v>3.918</v>
      </c>
      <c r="M51" s="1">
        <v>15728.0</v>
      </c>
      <c r="N51" s="1">
        <v>32.8904140640465</v>
      </c>
      <c r="O51" s="1">
        <v>46.844654</v>
      </c>
      <c r="P51" s="1">
        <v>43.122443</v>
      </c>
      <c r="Q51" s="1">
        <v>30.349962</v>
      </c>
      <c r="R51" s="1">
        <v>50.503602</v>
      </c>
      <c r="S51" s="1">
        <v>26.60709</v>
      </c>
      <c r="T51" s="1">
        <v>16.940365</v>
      </c>
      <c r="U51" s="1">
        <v>32.888508</v>
      </c>
      <c r="V51" s="1">
        <v>37.759647</v>
      </c>
      <c r="W51" s="1">
        <v>61.75543</v>
      </c>
      <c r="X51" s="1">
        <v>54.392719</v>
      </c>
      <c r="Y51" s="4"/>
    </row>
    <row r="52" ht="14.25" customHeight="1">
      <c r="A52" s="1" t="s">
        <v>75</v>
      </c>
      <c r="B52" s="2">
        <v>38061.0</v>
      </c>
      <c r="C52" s="3">
        <v>187.1</v>
      </c>
      <c r="D52" s="1">
        <v>35.0926086956522</v>
      </c>
      <c r="E52" s="1">
        <v>4.7349431</v>
      </c>
      <c r="F52" s="1">
        <v>4.4994441</v>
      </c>
      <c r="G52" s="1">
        <v>1.0</v>
      </c>
      <c r="H52" s="1">
        <v>119.77419</v>
      </c>
      <c r="I52" s="1">
        <v>5.7095652</v>
      </c>
      <c r="J52" s="1">
        <v>6.4721739</v>
      </c>
      <c r="K52" s="1">
        <v>7.1504348</v>
      </c>
      <c r="L52" s="1">
        <v>4.3191304</v>
      </c>
      <c r="M52" s="1">
        <v>15754.0</v>
      </c>
      <c r="N52" s="1">
        <v>33.15353737655884</v>
      </c>
      <c r="O52" s="1">
        <v>46.048295</v>
      </c>
      <c r="P52" s="1">
        <v>43.338055</v>
      </c>
      <c r="Q52" s="1">
        <v>29.318064</v>
      </c>
      <c r="R52" s="1">
        <v>50.352091</v>
      </c>
      <c r="S52" s="1">
        <v>27.032803</v>
      </c>
      <c r="T52" s="1">
        <v>17.465516</v>
      </c>
      <c r="U52" s="1">
        <v>33.579167</v>
      </c>
      <c r="V52" s="1">
        <v>37.382051</v>
      </c>
      <c r="W52" s="1">
        <v>62.249473</v>
      </c>
      <c r="X52" s="1">
        <v>54.338326</v>
      </c>
      <c r="Y52" s="4"/>
    </row>
    <row r="53" ht="14.25" customHeight="1">
      <c r="A53" s="1" t="s">
        <v>76</v>
      </c>
      <c r="B53" s="2">
        <v>38092.0</v>
      </c>
      <c r="C53" s="3">
        <v>187.4</v>
      </c>
      <c r="D53" s="1">
        <v>35.0384090909091</v>
      </c>
      <c r="E53" s="1">
        <v>4.7398634</v>
      </c>
      <c r="F53" s="1">
        <v>4.508764</v>
      </c>
      <c r="G53" s="1">
        <v>1.0</v>
      </c>
      <c r="H53" s="1">
        <v>106.41169</v>
      </c>
      <c r="I53" s="1">
        <v>6.2404545</v>
      </c>
      <c r="J53" s="1">
        <v>7.0181818</v>
      </c>
      <c r="K53" s="1">
        <v>7.3581818</v>
      </c>
      <c r="L53" s="1">
        <v>5.1</v>
      </c>
      <c r="M53" s="1">
        <v>15727.0</v>
      </c>
      <c r="N53" s="1">
        <v>33.31930506344161</v>
      </c>
      <c r="O53" s="1">
        <v>46.18644</v>
      </c>
      <c r="P53" s="1">
        <v>43.641422</v>
      </c>
      <c r="Q53" s="1">
        <v>29.347382</v>
      </c>
      <c r="R53" s="1">
        <v>50.603851</v>
      </c>
      <c r="S53" s="1">
        <v>27.276098</v>
      </c>
      <c r="T53" s="1">
        <v>17.675102</v>
      </c>
      <c r="U53" s="1">
        <v>33.713483</v>
      </c>
      <c r="V53" s="1">
        <v>37.382051</v>
      </c>
      <c r="W53" s="1">
        <v>62.56072</v>
      </c>
      <c r="X53" s="1">
        <v>54.392665</v>
      </c>
      <c r="Y53" s="4"/>
    </row>
    <row r="54" ht="14.25" customHeight="1">
      <c r="A54" s="1" t="s">
        <v>77</v>
      </c>
      <c r="B54" s="2">
        <v>38122.0</v>
      </c>
      <c r="C54" s="3">
        <v>188.2</v>
      </c>
      <c r="D54" s="1">
        <v>38.9309523809523</v>
      </c>
      <c r="E54" s="1">
        <v>4.7541188</v>
      </c>
      <c r="F54" s="1">
        <v>4.5306165</v>
      </c>
      <c r="G54" s="1">
        <v>1.0</v>
      </c>
      <c r="H54" s="1">
        <v>83.969701</v>
      </c>
      <c r="I54" s="1">
        <v>6.2933333</v>
      </c>
      <c r="J54" s="1">
        <v>6.9647619</v>
      </c>
      <c r="K54" s="1">
        <v>7.4090476</v>
      </c>
      <c r="L54" s="1">
        <v>5.1871429</v>
      </c>
      <c r="M54" s="1">
        <v>15746.0</v>
      </c>
      <c r="N54" s="1">
        <v>33.61917880901259</v>
      </c>
      <c r="O54" s="1">
        <v>46.371186</v>
      </c>
      <c r="P54" s="1">
        <v>43.59778</v>
      </c>
      <c r="Q54" s="1">
        <v>29.376729</v>
      </c>
      <c r="R54" s="1">
        <v>50.654455</v>
      </c>
      <c r="S54" s="1">
        <v>27.767068</v>
      </c>
      <c r="T54" s="1">
        <v>17.851853</v>
      </c>
      <c r="U54" s="1">
        <v>33.78091</v>
      </c>
      <c r="V54" s="1">
        <v>37.531579</v>
      </c>
      <c r="W54" s="1">
        <v>62.56072</v>
      </c>
      <c r="X54" s="1">
        <v>54.50145</v>
      </c>
      <c r="Y54" s="4"/>
    </row>
    <row r="55" ht="14.25" customHeight="1">
      <c r="A55" s="1" t="s">
        <v>78</v>
      </c>
      <c r="B55" s="2">
        <v>38153.0</v>
      </c>
      <c r="C55" s="3">
        <v>188.9</v>
      </c>
      <c r="D55" s="1">
        <v>36.7395454545454</v>
      </c>
      <c r="E55" s="1">
        <v>4.7457044</v>
      </c>
      <c r="F55" s="1">
        <v>4.5298376</v>
      </c>
      <c r="G55" s="1">
        <v>1.03</v>
      </c>
      <c r="H55" s="1">
        <v>62.321027</v>
      </c>
      <c r="I55" s="1">
        <v>6.3109091</v>
      </c>
      <c r="J55" s="1">
        <v>6.9709091</v>
      </c>
      <c r="K55" s="1">
        <v>7.3668182</v>
      </c>
      <c r="L55" s="1">
        <v>5.2704545</v>
      </c>
      <c r="M55" s="1">
        <v>15732.0</v>
      </c>
      <c r="N55" s="1">
        <v>33.8881322394847</v>
      </c>
      <c r="O55" s="1">
        <v>46.371186</v>
      </c>
      <c r="P55" s="1">
        <v>43.641378</v>
      </c>
      <c r="Q55" s="1">
        <v>29.347352</v>
      </c>
      <c r="R55" s="1">
        <v>50.70511</v>
      </c>
      <c r="S55" s="1">
        <v>28.183574</v>
      </c>
      <c r="T55" s="1">
        <v>17.834002</v>
      </c>
      <c r="U55" s="1">
        <v>33.713348</v>
      </c>
      <c r="V55" s="1">
        <v>37.531579</v>
      </c>
      <c r="W55" s="1">
        <v>62.310477</v>
      </c>
      <c r="X55" s="1">
        <v>54.50145</v>
      </c>
      <c r="Y55" s="4"/>
    </row>
    <row r="56" ht="14.25" customHeight="1">
      <c r="A56" s="1" t="s">
        <v>79</v>
      </c>
      <c r="B56" s="2">
        <v>38183.0</v>
      </c>
      <c r="C56" s="3">
        <v>189.1</v>
      </c>
      <c r="D56" s="1">
        <v>39.4559090909091</v>
      </c>
      <c r="E56" s="1">
        <v>4.7408327</v>
      </c>
      <c r="F56" s="1">
        <v>4.5310551</v>
      </c>
      <c r="G56" s="1">
        <v>1.26</v>
      </c>
      <c r="H56" s="1">
        <v>88.759446</v>
      </c>
      <c r="I56" s="1">
        <v>6.5722727</v>
      </c>
      <c r="J56" s="1">
        <v>7.2981818</v>
      </c>
      <c r="K56" s="1">
        <v>7.7122727</v>
      </c>
      <c r="L56" s="1">
        <v>5.6213636</v>
      </c>
      <c r="M56" s="1">
        <v>15735.0</v>
      </c>
      <c r="N56" s="1">
        <v>34.0575729006821</v>
      </c>
      <c r="O56" s="1">
        <v>46.463928</v>
      </c>
      <c r="P56" s="1">
        <v>43.728661</v>
      </c>
      <c r="Q56" s="1">
        <v>29.464742</v>
      </c>
      <c r="R56" s="1">
        <v>50.958635</v>
      </c>
      <c r="S56" s="1">
        <v>28.296308</v>
      </c>
      <c r="T56" s="1">
        <v>18.012342</v>
      </c>
      <c r="U56" s="1">
        <v>33.713348</v>
      </c>
      <c r="V56" s="1">
        <v>37.869363</v>
      </c>
      <c r="W56" s="1">
        <v>62.185857</v>
      </c>
      <c r="X56" s="1">
        <v>56.190995</v>
      </c>
      <c r="Y56" s="4"/>
    </row>
    <row r="57" ht="14.25" customHeight="1">
      <c r="A57" s="1" t="s">
        <v>80</v>
      </c>
      <c r="B57" s="2">
        <v>38214.0</v>
      </c>
      <c r="C57" s="3">
        <v>189.2</v>
      </c>
      <c r="D57" s="1">
        <v>43.58</v>
      </c>
      <c r="E57" s="1">
        <v>4.7450059</v>
      </c>
      <c r="F57" s="1">
        <v>4.5419959</v>
      </c>
      <c r="G57" s="1">
        <v>1.43</v>
      </c>
      <c r="H57" s="1">
        <v>98.719498</v>
      </c>
      <c r="I57" s="1">
        <v>6.37</v>
      </c>
      <c r="J57" s="1">
        <v>7.2245455</v>
      </c>
      <c r="K57" s="1">
        <v>7.6277273</v>
      </c>
      <c r="L57" s="1">
        <v>5.2804545</v>
      </c>
      <c r="M57" s="1">
        <v>15762.0</v>
      </c>
      <c r="N57" s="1">
        <v>34.26191833808624</v>
      </c>
      <c r="O57" s="1">
        <v>46.649784</v>
      </c>
      <c r="P57" s="1">
        <v>43.903575</v>
      </c>
      <c r="Q57" s="1">
        <v>29.582601</v>
      </c>
      <c r="R57" s="1">
        <v>51.16247</v>
      </c>
      <c r="S57" s="1">
        <v>28.494383</v>
      </c>
      <c r="T57" s="1">
        <v>18.15644</v>
      </c>
      <c r="U57" s="1">
        <v>33.915628</v>
      </c>
      <c r="V57" s="1">
        <v>38.020841</v>
      </c>
      <c r="W57" s="1">
        <v>62.123671</v>
      </c>
      <c r="X57" s="1">
        <v>56.190995</v>
      </c>
      <c r="Y57" s="4"/>
    </row>
    <row r="58" ht="14.25" customHeight="1">
      <c r="A58" s="1" t="s">
        <v>81</v>
      </c>
      <c r="B58" s="2">
        <v>38245.0</v>
      </c>
      <c r="C58" s="3">
        <v>189.8</v>
      </c>
      <c r="D58" s="1">
        <v>44.5884090909091</v>
      </c>
      <c r="E58" s="1">
        <v>4.7422662</v>
      </c>
      <c r="F58" s="1">
        <v>4.5427357</v>
      </c>
      <c r="G58" s="1">
        <v>1.61</v>
      </c>
      <c r="H58" s="1">
        <v>97.893763</v>
      </c>
      <c r="I58" s="1">
        <v>6.355</v>
      </c>
      <c r="J58" s="1">
        <v>7.0445455</v>
      </c>
      <c r="K58" s="1">
        <v>7.5468182</v>
      </c>
      <c r="L58" s="1">
        <v>5.2381818</v>
      </c>
      <c r="M58" s="1">
        <v>15755.0</v>
      </c>
      <c r="N58" s="1">
        <v>34.36470409310048</v>
      </c>
      <c r="O58" s="1">
        <v>46.836383</v>
      </c>
      <c r="P58" s="1">
        <v>44.123093</v>
      </c>
      <c r="Q58" s="1">
        <v>29.700931</v>
      </c>
      <c r="R58" s="1">
        <v>51.315957</v>
      </c>
      <c r="S58" s="1">
        <v>28.60836</v>
      </c>
      <c r="T58" s="1">
        <v>18.174597</v>
      </c>
      <c r="U58" s="1">
        <v>34.085207</v>
      </c>
      <c r="V58" s="1">
        <v>38.134903</v>
      </c>
      <c r="W58" s="1">
        <v>62.061547</v>
      </c>
      <c r="X58" s="1">
        <v>56.247186</v>
      </c>
      <c r="Y58" s="4"/>
    </row>
    <row r="59" ht="14.25" customHeight="1">
      <c r="A59" s="1" t="s">
        <v>82</v>
      </c>
      <c r="B59" s="2">
        <v>38275.0</v>
      </c>
      <c r="C59" s="3">
        <v>190.8</v>
      </c>
      <c r="D59" s="1">
        <v>51.4516666666666</v>
      </c>
      <c r="E59" s="1">
        <v>4.7307492</v>
      </c>
      <c r="F59" s="1">
        <v>4.5324421</v>
      </c>
      <c r="G59" s="1">
        <v>1.76</v>
      </c>
      <c r="H59" s="1">
        <v>106.70999</v>
      </c>
      <c r="I59" s="1">
        <v>6.3985714</v>
      </c>
      <c r="J59" s="1">
        <v>7.1142857</v>
      </c>
      <c r="K59" s="1">
        <v>7.5714286</v>
      </c>
      <c r="L59" s="1">
        <v>5.5152381</v>
      </c>
      <c r="M59" s="1">
        <v>15755.0</v>
      </c>
      <c r="N59" s="1">
        <v>34.36470409310048</v>
      </c>
      <c r="O59" s="1">
        <v>46.836383</v>
      </c>
      <c r="P59" s="1">
        <v>44.211339</v>
      </c>
      <c r="Q59" s="1">
        <v>29.790034</v>
      </c>
      <c r="R59" s="1">
        <v>51.521221</v>
      </c>
      <c r="S59" s="1">
        <v>28.551143</v>
      </c>
      <c r="T59" s="1">
        <v>18.210946</v>
      </c>
      <c r="U59" s="1">
        <v>34.255633</v>
      </c>
      <c r="V59" s="1">
        <v>38.287443</v>
      </c>
      <c r="W59" s="1">
        <v>61.813301</v>
      </c>
      <c r="X59" s="1">
        <v>56.303433</v>
      </c>
      <c r="Y59" s="4"/>
    </row>
    <row r="60" ht="14.25" customHeight="1">
      <c r="A60" s="1" t="s">
        <v>83</v>
      </c>
      <c r="B60" s="2">
        <v>38306.0</v>
      </c>
      <c r="C60" s="3">
        <v>191.7</v>
      </c>
      <c r="D60" s="1">
        <v>46.1404545454545</v>
      </c>
      <c r="E60" s="1">
        <v>4.6976773</v>
      </c>
      <c r="F60" s="1">
        <v>4.5018742</v>
      </c>
      <c r="G60" s="1">
        <v>1.93</v>
      </c>
      <c r="H60" s="1">
        <v>122.07386</v>
      </c>
      <c r="I60" s="1">
        <v>6.4527273</v>
      </c>
      <c r="J60" s="1">
        <v>7.1904545</v>
      </c>
      <c r="K60" s="1">
        <v>7.54</v>
      </c>
      <c r="L60" s="1">
        <v>5.6727273</v>
      </c>
      <c r="M60" s="1">
        <v>15812.0</v>
      </c>
      <c r="N60" s="1">
        <v>34.43343350128667</v>
      </c>
      <c r="O60" s="1">
        <v>46.836383</v>
      </c>
      <c r="P60" s="1">
        <v>44.299762</v>
      </c>
      <c r="Q60" s="1">
        <v>29.700664</v>
      </c>
      <c r="R60" s="1">
        <v>51.572742</v>
      </c>
      <c r="S60" s="1">
        <v>28.551143</v>
      </c>
      <c r="T60" s="1">
        <v>18.229157</v>
      </c>
      <c r="U60" s="1">
        <v>34.426911</v>
      </c>
      <c r="V60" s="1">
        <v>38.32573</v>
      </c>
      <c r="W60" s="1">
        <v>61.813301</v>
      </c>
      <c r="X60" s="1">
        <v>56.979074</v>
      </c>
      <c r="Y60" s="4"/>
    </row>
    <row r="61" ht="14.25" customHeight="1">
      <c r="A61" s="1" t="s">
        <v>84</v>
      </c>
      <c r="B61" s="2">
        <v>38336.0</v>
      </c>
      <c r="C61" s="3">
        <v>191.7</v>
      </c>
      <c r="D61" s="1">
        <v>41.6223913043478</v>
      </c>
      <c r="E61" s="1">
        <v>4.6810951</v>
      </c>
      <c r="F61" s="1">
        <v>4.4899687</v>
      </c>
      <c r="G61" s="1">
        <v>2.16</v>
      </c>
      <c r="H61" s="1">
        <v>126.11796</v>
      </c>
      <c r="I61" s="1">
        <v>6.6386957</v>
      </c>
      <c r="J61" s="1">
        <v>7.323913</v>
      </c>
      <c r="K61" s="1">
        <v>7.7117391</v>
      </c>
      <c r="L61" s="1">
        <v>5.9752174</v>
      </c>
      <c r="M61" s="1">
        <v>15776.0</v>
      </c>
      <c r="N61" s="1">
        <v>34.64003410229446</v>
      </c>
      <c r="O61" s="1">
        <v>46.976892</v>
      </c>
      <c r="P61" s="1">
        <v>44.521261</v>
      </c>
      <c r="Q61" s="1">
        <v>29.730365</v>
      </c>
      <c r="R61" s="1">
        <v>51.72746</v>
      </c>
      <c r="S61" s="1">
        <v>28.751001</v>
      </c>
      <c r="T61" s="1">
        <v>18.247386</v>
      </c>
      <c r="U61" s="1">
        <v>34.599045</v>
      </c>
      <c r="V61" s="1">
        <v>38.708988</v>
      </c>
      <c r="W61" s="1">
        <v>61.875114</v>
      </c>
      <c r="X61" s="1">
        <v>57.206991</v>
      </c>
      <c r="Y61" s="4"/>
    </row>
    <row r="62" ht="14.25" customHeight="1">
      <c r="A62" s="1" t="s">
        <v>85</v>
      </c>
      <c r="B62" s="2">
        <v>38367.0</v>
      </c>
      <c r="C62" s="3">
        <v>191.6</v>
      </c>
      <c r="D62" s="1">
        <v>45.5833333333333</v>
      </c>
      <c r="E62" s="1">
        <v>4.6839498</v>
      </c>
      <c r="F62" s="1">
        <v>4.497725</v>
      </c>
      <c r="G62" s="1">
        <v>2.28</v>
      </c>
      <c r="H62" s="1">
        <v>105.96742</v>
      </c>
      <c r="I62" s="1">
        <v>7.0266667</v>
      </c>
      <c r="J62" s="1">
        <v>7.417619</v>
      </c>
      <c r="K62" s="1">
        <v>7.7657143</v>
      </c>
      <c r="L62" s="1">
        <v>6.267619</v>
      </c>
      <c r="M62" s="1">
        <v>15817.0</v>
      </c>
      <c r="N62" s="1">
        <v>35.02107447741964</v>
      </c>
      <c r="O62" s="1">
        <v>47.352707</v>
      </c>
      <c r="P62" s="1">
        <v>44.83291</v>
      </c>
      <c r="Q62" s="1">
        <v>29.760095</v>
      </c>
      <c r="R62" s="1">
        <v>52.14128</v>
      </c>
      <c r="S62" s="1">
        <v>29.239768</v>
      </c>
      <c r="T62" s="1">
        <v>18.320376</v>
      </c>
      <c r="U62" s="1">
        <v>34.702842</v>
      </c>
      <c r="V62" s="1">
        <v>39.057369</v>
      </c>
      <c r="W62" s="1">
        <v>62.060739</v>
      </c>
      <c r="X62" s="1">
        <v>57.378612</v>
      </c>
      <c r="Y62" s="4"/>
    </row>
    <row r="63" ht="14.25" customHeight="1">
      <c r="A63" s="1" t="s">
        <v>86</v>
      </c>
      <c r="B63" s="2">
        <v>38398.0</v>
      </c>
      <c r="C63" s="3">
        <v>192.4</v>
      </c>
      <c r="D63" s="1">
        <v>46.85575</v>
      </c>
      <c r="E63" s="1">
        <v>4.6864905</v>
      </c>
      <c r="F63" s="1">
        <v>4.5042755</v>
      </c>
      <c r="G63" s="1">
        <v>2.5</v>
      </c>
      <c r="H63" s="1">
        <v>106.37969</v>
      </c>
      <c r="I63" s="1">
        <v>6.996</v>
      </c>
      <c r="J63" s="1">
        <v>7.4875</v>
      </c>
      <c r="K63" s="1">
        <v>7.7775</v>
      </c>
      <c r="L63" s="1">
        <v>6.3315</v>
      </c>
      <c r="M63" s="1">
        <v>15794.0</v>
      </c>
      <c r="N63" s="1">
        <v>35.89660133935518</v>
      </c>
      <c r="O63" s="1">
        <v>48.157703</v>
      </c>
      <c r="P63" s="1">
        <v>45.057074</v>
      </c>
      <c r="Q63" s="1">
        <v>29.760095</v>
      </c>
      <c r="R63" s="1">
        <v>52.349845</v>
      </c>
      <c r="S63" s="1">
        <v>30.438599</v>
      </c>
      <c r="T63" s="1">
        <v>18.393657</v>
      </c>
      <c r="U63" s="1">
        <v>34.841654</v>
      </c>
      <c r="V63" s="1">
        <v>39.682287</v>
      </c>
      <c r="W63" s="1">
        <v>63.115772</v>
      </c>
      <c r="X63" s="1">
        <v>57.837641</v>
      </c>
      <c r="Y63" s="4"/>
    </row>
    <row r="64" ht="14.25" customHeight="1">
      <c r="A64" s="1" t="s">
        <v>87</v>
      </c>
      <c r="B64" s="2">
        <v>38426.0</v>
      </c>
      <c r="C64" s="3">
        <v>193.1</v>
      </c>
      <c r="D64" s="1">
        <v>53.6610869565217</v>
      </c>
      <c r="E64" s="1">
        <v>4.6789871</v>
      </c>
      <c r="F64" s="1">
        <v>4.5021709</v>
      </c>
      <c r="G64" s="1">
        <v>2.63</v>
      </c>
      <c r="H64" s="1">
        <v>109.35203</v>
      </c>
      <c r="I64" s="1">
        <v>6.9621739</v>
      </c>
      <c r="J64" s="1">
        <v>7.5317391</v>
      </c>
      <c r="K64" s="1">
        <v>7.8413043</v>
      </c>
      <c r="L64" s="1">
        <v>6.2743478</v>
      </c>
      <c r="M64" s="1">
        <v>15815.0</v>
      </c>
      <c r="N64" s="1">
        <v>35.93249794069449</v>
      </c>
      <c r="O64" s="1">
        <v>48.061388</v>
      </c>
      <c r="P64" s="1">
        <v>44.96696</v>
      </c>
      <c r="Q64" s="1">
        <v>29.789855</v>
      </c>
      <c r="R64" s="1">
        <v>52.454545</v>
      </c>
      <c r="S64" s="1">
        <v>30.499476</v>
      </c>
      <c r="T64" s="1">
        <v>18.448838</v>
      </c>
      <c r="U64" s="1">
        <v>34.98102</v>
      </c>
      <c r="V64" s="1">
        <v>39.483875</v>
      </c>
      <c r="W64" s="1">
        <v>62.737077</v>
      </c>
      <c r="X64" s="1">
        <v>57.664128</v>
      </c>
      <c r="Y64" s="4"/>
    </row>
    <row r="65" ht="14.25" customHeight="1">
      <c r="A65" s="1" t="s">
        <v>88</v>
      </c>
      <c r="B65" s="2">
        <v>38457.0</v>
      </c>
      <c r="C65" s="3">
        <v>193.7</v>
      </c>
      <c r="D65" s="1">
        <v>52.8204761904762</v>
      </c>
      <c r="E65" s="1">
        <v>4.6920909</v>
      </c>
      <c r="F65" s="1">
        <v>4.5213334</v>
      </c>
      <c r="G65" s="1">
        <v>2.79</v>
      </c>
      <c r="H65" s="1">
        <v>106.03584</v>
      </c>
      <c r="I65" s="1">
        <v>7.0133333</v>
      </c>
      <c r="J65" s="1">
        <v>7.5738095</v>
      </c>
      <c r="K65" s="1">
        <v>7.8766667</v>
      </c>
      <c r="L65" s="1">
        <v>6.2814286</v>
      </c>
      <c r="M65" s="1">
        <v>15817.0</v>
      </c>
      <c r="N65" s="1">
        <v>36.14809292833864</v>
      </c>
      <c r="O65" s="1">
        <v>48.157511</v>
      </c>
      <c r="P65" s="1">
        <v>45.101861</v>
      </c>
      <c r="Q65" s="1">
        <v>29.849435</v>
      </c>
      <c r="R65" s="1">
        <v>52.664363</v>
      </c>
      <c r="S65" s="1">
        <v>30.651973</v>
      </c>
      <c r="T65" s="1">
        <v>18.559531</v>
      </c>
      <c r="U65" s="1">
        <v>35.365812</v>
      </c>
      <c r="V65" s="1">
        <v>39.562843</v>
      </c>
      <c r="W65" s="1">
        <v>62.67434</v>
      </c>
      <c r="X65" s="1">
        <v>58.529089</v>
      </c>
      <c r="Y65" s="4"/>
    </row>
    <row r="66" ht="14.25" customHeight="1">
      <c r="A66" s="1" t="s">
        <v>89</v>
      </c>
      <c r="B66" s="2">
        <v>38487.0</v>
      </c>
      <c r="C66" s="3">
        <v>193.6</v>
      </c>
      <c r="D66" s="1">
        <v>49.6038636363636</v>
      </c>
      <c r="E66" s="1">
        <v>4.6954015</v>
      </c>
      <c r="F66" s="1">
        <v>4.5287353</v>
      </c>
      <c r="G66" s="1">
        <v>3.0</v>
      </c>
      <c r="H66" s="1">
        <v>85.073311</v>
      </c>
      <c r="I66" s="1">
        <v>7.01</v>
      </c>
      <c r="J66" s="1">
        <v>7.5513636</v>
      </c>
      <c r="K66" s="1">
        <v>7.8504545</v>
      </c>
      <c r="L66" s="1">
        <v>6.3013636</v>
      </c>
      <c r="M66" s="1">
        <v>15844.0</v>
      </c>
      <c r="N66" s="1">
        <v>36.32883339298037</v>
      </c>
      <c r="O66" s="1">
        <v>48.542771</v>
      </c>
      <c r="P66" s="1">
        <v>45.282268</v>
      </c>
      <c r="Q66" s="1">
        <v>29.879284</v>
      </c>
      <c r="R66" s="1">
        <v>52.822356</v>
      </c>
      <c r="S66" s="1">
        <v>30.835885</v>
      </c>
      <c r="T66" s="1">
        <v>18.633769</v>
      </c>
      <c r="U66" s="1">
        <v>35.648738</v>
      </c>
      <c r="V66" s="1">
        <v>39.721094</v>
      </c>
      <c r="W66" s="1">
        <v>62.799689</v>
      </c>
      <c r="X66" s="1">
        <v>58.763206</v>
      </c>
      <c r="Y66" s="4"/>
    </row>
    <row r="67" ht="14.25" customHeight="1">
      <c r="A67" s="1" t="s">
        <v>90</v>
      </c>
      <c r="B67" s="2">
        <v>38518.0</v>
      </c>
      <c r="C67" s="3">
        <v>193.7</v>
      </c>
      <c r="D67" s="1">
        <v>55.5722727272727</v>
      </c>
      <c r="E67" s="1">
        <v>4.713233</v>
      </c>
      <c r="F67" s="1">
        <v>4.5512412</v>
      </c>
      <c r="G67" s="1">
        <v>3.04</v>
      </c>
      <c r="H67" s="1">
        <v>56.37278</v>
      </c>
      <c r="I67" s="1">
        <v>7.0190909</v>
      </c>
      <c r="J67" s="1">
        <v>7.5213636</v>
      </c>
      <c r="K67" s="1">
        <v>7.8495455</v>
      </c>
      <c r="L67" s="1">
        <v>6.2754545</v>
      </c>
      <c r="M67" s="1">
        <v>15865.0</v>
      </c>
      <c r="N67" s="1">
        <v>36.47414872655228</v>
      </c>
      <c r="O67" s="1">
        <v>48.445685</v>
      </c>
      <c r="P67" s="1">
        <v>45.418115</v>
      </c>
      <c r="Q67" s="1">
        <v>30.088439</v>
      </c>
      <c r="R67" s="1">
        <v>52.980823</v>
      </c>
      <c r="S67" s="1">
        <v>30.990065</v>
      </c>
      <c r="T67" s="1">
        <v>18.726938</v>
      </c>
      <c r="U67" s="1">
        <v>35.648738</v>
      </c>
      <c r="V67" s="1">
        <v>39.840257</v>
      </c>
      <c r="W67" s="1">
        <v>63.113687</v>
      </c>
      <c r="X67" s="1">
        <v>58.821969</v>
      </c>
      <c r="Y67" s="4"/>
    </row>
    <row r="68" ht="14.25" customHeight="1">
      <c r="A68" s="1" t="s">
        <v>91</v>
      </c>
      <c r="B68" s="2">
        <v>38548.0</v>
      </c>
      <c r="C68" s="3">
        <v>194.9</v>
      </c>
      <c r="D68" s="1">
        <v>58.1657142857143</v>
      </c>
      <c r="E68" s="1">
        <v>4.7272402</v>
      </c>
      <c r="F68" s="1">
        <v>4.5680114</v>
      </c>
      <c r="G68" s="1">
        <v>3.26</v>
      </c>
      <c r="H68" s="1">
        <v>34.546953</v>
      </c>
      <c r="I68" s="1">
        <v>7.1938095</v>
      </c>
      <c r="J68" s="1">
        <v>7.5985714</v>
      </c>
      <c r="K68" s="1">
        <v>7.887619</v>
      </c>
      <c r="L68" s="1">
        <v>6.6180952</v>
      </c>
      <c r="M68" s="1">
        <v>15872.0</v>
      </c>
      <c r="N68" s="1">
        <v>36.62004532145846</v>
      </c>
      <c r="O68" s="1">
        <v>48.542576</v>
      </c>
      <c r="P68" s="1">
        <v>45.55437</v>
      </c>
      <c r="Q68" s="1">
        <v>30.26897</v>
      </c>
      <c r="R68" s="1">
        <v>53.139766</v>
      </c>
      <c r="S68" s="1">
        <v>30.990065</v>
      </c>
      <c r="T68" s="1">
        <v>18.801846</v>
      </c>
      <c r="U68" s="1">
        <v>36.254767</v>
      </c>
      <c r="V68" s="1">
        <v>40.079299</v>
      </c>
      <c r="W68" s="1">
        <v>63.113687</v>
      </c>
      <c r="X68" s="1">
        <v>59.998408</v>
      </c>
      <c r="Y68" s="4"/>
    </row>
    <row r="69" ht="14.25" customHeight="1">
      <c r="A69" s="1" t="s">
        <v>92</v>
      </c>
      <c r="B69" s="2">
        <v>38579.0</v>
      </c>
      <c r="C69" s="3">
        <v>196.1</v>
      </c>
      <c r="D69" s="1">
        <v>64.4593478260869</v>
      </c>
      <c r="E69" s="1">
        <v>4.7141442</v>
      </c>
      <c r="F69" s="1">
        <v>4.5585296</v>
      </c>
      <c r="G69" s="1">
        <v>3.5</v>
      </c>
      <c r="H69" s="1">
        <v>33.510611</v>
      </c>
      <c r="I69" s="1">
        <v>7.363913</v>
      </c>
      <c r="J69" s="1">
        <v>7.7469565</v>
      </c>
      <c r="K69" s="1">
        <v>8.0278261</v>
      </c>
      <c r="L69" s="1">
        <v>6.796087</v>
      </c>
      <c r="M69" s="1">
        <v>15877.0</v>
      </c>
      <c r="N69" s="1">
        <v>36.76652550274429</v>
      </c>
      <c r="O69" s="1">
        <v>48.736747</v>
      </c>
      <c r="P69" s="1">
        <v>45.827696</v>
      </c>
      <c r="Q69" s="1">
        <v>30.450584</v>
      </c>
      <c r="R69" s="1">
        <v>53.405465</v>
      </c>
      <c r="S69" s="1">
        <v>31.083035</v>
      </c>
      <c r="T69" s="1">
        <v>18.83945</v>
      </c>
      <c r="U69" s="1">
        <v>36.472295</v>
      </c>
      <c r="V69" s="1">
        <v>40.279696</v>
      </c>
      <c r="W69" s="1">
        <v>63.176801</v>
      </c>
      <c r="X69" s="1">
        <v>60.538394</v>
      </c>
      <c r="Y69" s="4"/>
    </row>
    <row r="70" ht="14.25" customHeight="1">
      <c r="A70" s="1" t="s">
        <v>93</v>
      </c>
      <c r="B70" s="2">
        <v>38610.0</v>
      </c>
      <c r="C70" s="3">
        <v>198.8</v>
      </c>
      <c r="D70" s="1">
        <v>64.4595454545454</v>
      </c>
      <c r="E70" s="1">
        <v>4.7171491</v>
      </c>
      <c r="F70" s="1">
        <v>4.5686794</v>
      </c>
      <c r="G70" s="1">
        <v>3.62</v>
      </c>
      <c r="H70" s="1">
        <v>56.249216</v>
      </c>
      <c r="I70" s="1">
        <v>7.245</v>
      </c>
      <c r="J70" s="1">
        <v>7.7081818</v>
      </c>
      <c r="K70" s="1">
        <v>8.0477273</v>
      </c>
      <c r="L70" s="1">
        <v>6.3254545</v>
      </c>
      <c r="M70" s="1">
        <v>15885.0</v>
      </c>
      <c r="N70" s="1">
        <v>37.06065770676633</v>
      </c>
      <c r="O70" s="1">
        <v>48.736747</v>
      </c>
      <c r="P70" s="1">
        <v>46.102662</v>
      </c>
      <c r="Q70" s="1">
        <v>30.846441</v>
      </c>
      <c r="R70" s="1">
        <v>53.565681</v>
      </c>
      <c r="S70" s="1">
        <v>31.207367</v>
      </c>
      <c r="T70" s="1">
        <v>18.933647</v>
      </c>
      <c r="U70" s="1">
        <v>37.092324</v>
      </c>
      <c r="V70" s="1">
        <v>40.440814</v>
      </c>
      <c r="W70" s="1">
        <v>63.176801</v>
      </c>
      <c r="X70" s="1">
        <v>62.838853</v>
      </c>
      <c r="Y70" s="4"/>
    </row>
    <row r="71" ht="14.25" customHeight="1">
      <c r="A71" s="1" t="s">
        <v>94</v>
      </c>
      <c r="B71" s="2">
        <v>38640.0</v>
      </c>
      <c r="C71" s="3">
        <v>199.1</v>
      </c>
      <c r="D71" s="1">
        <v>60.6395238095238</v>
      </c>
      <c r="E71" s="1">
        <v>4.731873</v>
      </c>
      <c r="F71" s="1">
        <v>4.5894573</v>
      </c>
      <c r="G71" s="1">
        <v>3.78</v>
      </c>
      <c r="H71" s="1">
        <v>68.247348</v>
      </c>
      <c r="I71" s="1">
        <v>7.2690476</v>
      </c>
      <c r="J71" s="1">
        <v>7.7561905</v>
      </c>
      <c r="K71" s="1">
        <v>8.097619</v>
      </c>
      <c r="L71" s="1">
        <v>6.237619</v>
      </c>
      <c r="M71" s="1">
        <v>15905.0</v>
      </c>
      <c r="N71" s="1">
        <v>37.20890033759333</v>
      </c>
      <c r="O71" s="1">
        <v>48.931694</v>
      </c>
      <c r="P71" s="1">
        <v>46.287073</v>
      </c>
      <c r="Q71" s="1">
        <v>31.062366</v>
      </c>
      <c r="R71" s="1">
        <v>53.779944</v>
      </c>
      <c r="S71" s="1">
        <v>31.332197</v>
      </c>
      <c r="T71" s="1">
        <v>19.009381</v>
      </c>
      <c r="U71" s="1">
        <v>37.50034</v>
      </c>
      <c r="V71" s="1">
        <v>40.602578</v>
      </c>
      <c r="W71" s="1">
        <v>63.239978</v>
      </c>
      <c r="X71" s="1">
        <v>63.02737</v>
      </c>
      <c r="Y71" s="4"/>
    </row>
    <row r="72" ht="14.25" customHeight="1">
      <c r="A72" s="1" t="s">
        <v>95</v>
      </c>
      <c r="B72" s="2">
        <v>38671.0</v>
      </c>
      <c r="C72" s="3">
        <v>198.1</v>
      </c>
      <c r="D72" s="1">
        <v>56.8804545454545</v>
      </c>
      <c r="E72" s="1">
        <v>4.743954</v>
      </c>
      <c r="F72" s="1">
        <v>4.6081834</v>
      </c>
      <c r="G72" s="1">
        <v>4.0</v>
      </c>
      <c r="H72" s="1">
        <v>60.848089</v>
      </c>
      <c r="I72" s="1">
        <v>7.4281818</v>
      </c>
      <c r="J72" s="1">
        <v>7.8681818</v>
      </c>
      <c r="K72" s="1">
        <v>8.1809091</v>
      </c>
      <c r="L72" s="1">
        <v>6.5377273</v>
      </c>
      <c r="M72" s="1">
        <v>15908.0</v>
      </c>
      <c r="N72" s="1">
        <v>37.35773593894375</v>
      </c>
      <c r="O72" s="1">
        <v>49.078489</v>
      </c>
      <c r="P72" s="1">
        <v>46.518508</v>
      </c>
      <c r="Q72" s="1">
        <v>31.124491</v>
      </c>
      <c r="R72" s="1">
        <v>53.941284</v>
      </c>
      <c r="S72" s="1">
        <v>31.488858</v>
      </c>
      <c r="T72" s="1">
        <v>19.104428</v>
      </c>
      <c r="U72" s="1">
        <v>37.762842</v>
      </c>
      <c r="V72" s="1">
        <v>40.80559</v>
      </c>
      <c r="W72" s="1">
        <v>63.429698</v>
      </c>
      <c r="X72" s="1">
        <v>63.153424</v>
      </c>
      <c r="Y72" s="4"/>
    </row>
    <row r="73" ht="14.25" customHeight="1">
      <c r="A73" s="1" t="s">
        <v>96</v>
      </c>
      <c r="B73" s="2">
        <v>38701.0</v>
      </c>
      <c r="C73" s="3">
        <v>198.1</v>
      </c>
      <c r="D73" s="1">
        <v>58.2615909090909</v>
      </c>
      <c r="E73" s="1">
        <v>4.7388169</v>
      </c>
      <c r="F73" s="1">
        <v>4.6083488</v>
      </c>
      <c r="G73" s="1">
        <v>4.16</v>
      </c>
      <c r="H73" s="1">
        <v>49.542729</v>
      </c>
      <c r="I73" s="1">
        <v>7.5045455</v>
      </c>
      <c r="J73" s="1">
        <v>7.9345455</v>
      </c>
      <c r="K73" s="1">
        <v>8.2459091</v>
      </c>
      <c r="L73" s="1">
        <v>6.5227273</v>
      </c>
      <c r="M73" s="1">
        <v>15908.0</v>
      </c>
      <c r="N73" s="1">
        <v>37.65659782645529</v>
      </c>
      <c r="O73" s="1">
        <v>49.323881</v>
      </c>
      <c r="P73" s="1">
        <v>46.797619</v>
      </c>
      <c r="Q73" s="1">
        <v>31.248989</v>
      </c>
      <c r="R73" s="1">
        <v>54.264931</v>
      </c>
      <c r="S73" s="1">
        <v>31.929702</v>
      </c>
      <c r="T73" s="1">
        <v>19.161742</v>
      </c>
      <c r="U73" s="1">
        <v>37.989419</v>
      </c>
      <c r="V73" s="1">
        <v>41.09123</v>
      </c>
      <c r="W73" s="1">
        <v>63.556557</v>
      </c>
      <c r="X73" s="1">
        <v>62.458737</v>
      </c>
      <c r="Y73" s="4"/>
    </row>
    <row r="74" ht="14.25" customHeight="1">
      <c r="A74" s="1" t="s">
        <v>97</v>
      </c>
      <c r="B74" s="2">
        <v>38732.0</v>
      </c>
      <c r="C74" s="3">
        <v>199.3</v>
      </c>
      <c r="D74" s="1">
        <v>64.2722727272727</v>
      </c>
      <c r="E74" s="1">
        <v>4.7168158</v>
      </c>
      <c r="F74" s="1">
        <v>4.5907328</v>
      </c>
      <c r="G74" s="1">
        <v>4.29</v>
      </c>
      <c r="H74" s="1">
        <v>35.177372</v>
      </c>
      <c r="I74" s="1">
        <v>7.5377273</v>
      </c>
      <c r="J74" s="1">
        <v>7.9368182</v>
      </c>
      <c r="K74" s="1">
        <v>8.2290909</v>
      </c>
      <c r="L74" s="1">
        <v>6.3736364</v>
      </c>
      <c r="M74" s="1">
        <v>15924.0</v>
      </c>
      <c r="N74" s="1">
        <v>38.10847700037277</v>
      </c>
      <c r="O74" s="1">
        <v>49.915768</v>
      </c>
      <c r="P74" s="1">
        <v>47.218798</v>
      </c>
      <c r="Q74" s="1">
        <v>31.280238</v>
      </c>
      <c r="R74" s="1">
        <v>54.590521</v>
      </c>
      <c r="S74" s="1">
        <v>32.472506</v>
      </c>
      <c r="T74" s="1">
        <v>19.25755</v>
      </c>
      <c r="U74" s="1">
        <v>38.293335</v>
      </c>
      <c r="V74" s="1">
        <v>41.419959</v>
      </c>
      <c r="W74" s="1">
        <v>63.68367</v>
      </c>
      <c r="X74" s="1">
        <v>62.521195</v>
      </c>
      <c r="Y74" s="4"/>
    </row>
    <row r="75" ht="14.25" customHeight="1">
      <c r="A75" s="1" t="s">
        <v>98</v>
      </c>
      <c r="B75" s="2">
        <v>38763.0</v>
      </c>
      <c r="C75" s="3">
        <v>199.4</v>
      </c>
      <c r="D75" s="1">
        <v>61.17475</v>
      </c>
      <c r="E75" s="1">
        <v>4.7231592</v>
      </c>
      <c r="F75" s="1">
        <v>4.6004717</v>
      </c>
      <c r="G75" s="1">
        <v>4.49</v>
      </c>
      <c r="H75" s="1">
        <v>43.030653</v>
      </c>
      <c r="I75" s="1">
        <v>7.3955</v>
      </c>
      <c r="J75" s="1">
        <v>7.889</v>
      </c>
      <c r="K75" s="1">
        <v>8.2</v>
      </c>
      <c r="L75" s="1">
        <v>6.0015</v>
      </c>
      <c r="M75" s="1">
        <v>15924.0</v>
      </c>
      <c r="N75" s="1">
        <v>38.90875501738059</v>
      </c>
      <c r="O75" s="1">
        <v>50.664504</v>
      </c>
      <c r="P75" s="1">
        <v>47.596548</v>
      </c>
      <c r="Q75" s="1">
        <v>31.311518</v>
      </c>
      <c r="R75" s="1">
        <v>54.918064</v>
      </c>
      <c r="S75" s="1">
        <v>33.511627</v>
      </c>
      <c r="T75" s="1">
        <v>19.353838</v>
      </c>
      <c r="U75" s="1">
        <v>38.561388</v>
      </c>
      <c r="V75" s="1">
        <v>42.124099</v>
      </c>
      <c r="W75" s="1">
        <v>64.89366</v>
      </c>
      <c r="X75" s="1">
        <v>63.021365</v>
      </c>
      <c r="Y75" s="4"/>
    </row>
    <row r="76" ht="14.25" customHeight="1">
      <c r="A76" s="1" t="s">
        <v>99</v>
      </c>
      <c r="B76" s="2">
        <v>38791.0</v>
      </c>
      <c r="C76" s="3">
        <v>199.7</v>
      </c>
      <c r="D76" s="1">
        <v>62.8232608695652</v>
      </c>
      <c r="E76" s="1">
        <v>4.7214572</v>
      </c>
      <c r="F76" s="1">
        <v>4.5994932</v>
      </c>
      <c r="G76" s="1">
        <v>4.59</v>
      </c>
      <c r="H76" s="1">
        <v>49.194164</v>
      </c>
      <c r="I76" s="1">
        <v>7.3465217</v>
      </c>
      <c r="J76" s="1">
        <v>7.98</v>
      </c>
      <c r="K76" s="1">
        <v>8.26</v>
      </c>
      <c r="L76" s="1">
        <v>5.9243478</v>
      </c>
      <c r="M76" s="1">
        <v>15914.0</v>
      </c>
      <c r="N76" s="1">
        <v>38.71421124229367</v>
      </c>
      <c r="O76" s="1">
        <v>50.411182</v>
      </c>
      <c r="P76" s="1">
        <v>47.739338</v>
      </c>
      <c r="Q76" s="1">
        <v>31.34283</v>
      </c>
      <c r="R76" s="1">
        <v>55.137736</v>
      </c>
      <c r="S76" s="1">
        <v>33.210022</v>
      </c>
      <c r="T76" s="1">
        <v>19.450607</v>
      </c>
      <c r="U76" s="1">
        <v>38.599949</v>
      </c>
      <c r="V76" s="1">
        <v>41.955602</v>
      </c>
      <c r="W76" s="1">
        <v>64.439405</v>
      </c>
      <c r="X76" s="1">
        <v>62.643237</v>
      </c>
      <c r="Y76" s="4"/>
    </row>
    <row r="77" ht="14.25" customHeight="1">
      <c r="A77" s="1" t="s">
        <v>100</v>
      </c>
      <c r="B77" s="2">
        <v>38822.0</v>
      </c>
      <c r="C77" s="3">
        <v>200.7</v>
      </c>
      <c r="D77" s="1">
        <v>70.00675</v>
      </c>
      <c r="E77" s="1">
        <v>4.7088823</v>
      </c>
      <c r="F77" s="1">
        <v>4.5866622</v>
      </c>
      <c r="G77" s="1">
        <v>4.79</v>
      </c>
      <c r="H77" s="1">
        <v>43.565944</v>
      </c>
      <c r="I77" s="1">
        <v>7.246</v>
      </c>
      <c r="J77" s="1">
        <v>7.9505</v>
      </c>
      <c r="K77" s="1">
        <v>8.2315</v>
      </c>
      <c r="L77" s="1">
        <v>5.9715</v>
      </c>
      <c r="M77" s="1">
        <v>15930.0</v>
      </c>
      <c r="N77" s="1">
        <v>38.79163966477822</v>
      </c>
      <c r="O77" s="1">
        <v>50.461593</v>
      </c>
      <c r="P77" s="1">
        <v>47.834816000000004</v>
      </c>
      <c r="Q77" s="1">
        <v>31.374173</v>
      </c>
      <c r="R77" s="1">
        <v>55.358287</v>
      </c>
      <c r="S77" s="1">
        <v>33.276442</v>
      </c>
      <c r="T77" s="1">
        <v>19.470058</v>
      </c>
      <c r="U77" s="1">
        <v>38.48415</v>
      </c>
      <c r="V77" s="1">
        <v>42.039514</v>
      </c>
      <c r="W77" s="1">
        <v>64.310526</v>
      </c>
      <c r="X77" s="1">
        <v>62.70588</v>
      </c>
      <c r="Y77" s="4"/>
    </row>
    <row r="78" ht="14.25" customHeight="1">
      <c r="A78" s="1" t="s">
        <v>101</v>
      </c>
      <c r="B78" s="2">
        <v>38852.0</v>
      </c>
      <c r="C78" s="3">
        <v>201.3</v>
      </c>
      <c r="D78" s="1">
        <v>70.7345652173912</v>
      </c>
      <c r="E78" s="1">
        <v>4.6797705</v>
      </c>
      <c r="F78" s="1">
        <v>4.5602382</v>
      </c>
      <c r="G78" s="1">
        <v>4.94</v>
      </c>
      <c r="H78" s="1">
        <v>42.494771</v>
      </c>
      <c r="I78" s="1">
        <v>7.2121739</v>
      </c>
      <c r="J78" s="1">
        <v>7.906087</v>
      </c>
      <c r="K78" s="1">
        <v>8.2004348</v>
      </c>
      <c r="L78" s="1">
        <v>6.0313043</v>
      </c>
      <c r="M78" s="1">
        <v>15973.0</v>
      </c>
      <c r="N78" s="1">
        <v>39.03663949424003</v>
      </c>
      <c r="O78" s="1">
        <v>50.639546</v>
      </c>
      <c r="P78" s="1">
        <v>48.048344</v>
      </c>
      <c r="Q78" s="1">
        <v>31.465928</v>
      </c>
      <c r="R78" s="1">
        <v>55.652946</v>
      </c>
      <c r="S78" s="1">
        <v>33.358202</v>
      </c>
      <c r="T78" s="1">
        <v>19.54191</v>
      </c>
      <c r="U78" s="1">
        <v>38.821178</v>
      </c>
      <c r="V78" s="1">
        <v>42.462365</v>
      </c>
      <c r="W78" s="1">
        <v>64.917706</v>
      </c>
      <c r="X78" s="1">
        <v>64.553179</v>
      </c>
      <c r="Y78" s="4"/>
    </row>
    <row r="79" ht="14.25" customHeight="1">
      <c r="A79" s="1" t="s">
        <v>102</v>
      </c>
      <c r="B79" s="2">
        <v>38883.0</v>
      </c>
      <c r="C79" s="3">
        <v>201.8</v>
      </c>
      <c r="D79" s="1">
        <v>70.0952272727273</v>
      </c>
      <c r="E79" s="1">
        <v>4.692679</v>
      </c>
      <c r="F79" s="1">
        <v>4.5757801</v>
      </c>
      <c r="G79" s="1">
        <v>4.99</v>
      </c>
      <c r="H79" s="1">
        <v>53.119365</v>
      </c>
      <c r="I79" s="1">
        <v>7.165</v>
      </c>
      <c r="J79" s="1">
        <v>7.9004545</v>
      </c>
      <c r="K79" s="1">
        <v>8.1881818</v>
      </c>
      <c r="L79" s="1">
        <v>6.0431818</v>
      </c>
      <c r="M79" s="1">
        <v>15989.0</v>
      </c>
      <c r="N79" s="1">
        <v>39.18888238826756</v>
      </c>
      <c r="O79" s="1">
        <v>50.796528</v>
      </c>
      <c r="P79" s="1">
        <v>48.226123</v>
      </c>
      <c r="Q79" s="1">
        <v>31.412436</v>
      </c>
      <c r="R79" s="1">
        <v>56.01469</v>
      </c>
      <c r="S79" s="1">
        <v>33.494971</v>
      </c>
      <c r="T79" s="1">
        <v>19.641574</v>
      </c>
      <c r="U79" s="1">
        <v>39.209389</v>
      </c>
      <c r="V79" s="1">
        <v>42.330732</v>
      </c>
      <c r="W79" s="1">
        <v>64.937181</v>
      </c>
      <c r="X79" s="1">
        <v>64.604822</v>
      </c>
      <c r="Y79" s="4"/>
    </row>
    <row r="80" ht="14.25" customHeight="1">
      <c r="A80" s="1" t="s">
        <v>103</v>
      </c>
      <c r="B80" s="2">
        <v>38913.0</v>
      </c>
      <c r="C80" s="3">
        <v>202.9</v>
      </c>
      <c r="D80" s="1">
        <v>74.2011904761905</v>
      </c>
      <c r="E80" s="1">
        <v>4.6917213</v>
      </c>
      <c r="F80" s="1">
        <v>4.5794924</v>
      </c>
      <c r="G80" s="1">
        <v>5.24</v>
      </c>
      <c r="H80" s="1">
        <v>64.265055</v>
      </c>
      <c r="I80" s="1">
        <v>7.1719048</v>
      </c>
      <c r="J80" s="1">
        <v>7.8880952</v>
      </c>
      <c r="K80" s="1">
        <v>8.1961905</v>
      </c>
      <c r="L80" s="1">
        <v>6.142381</v>
      </c>
      <c r="M80" s="1">
        <v>15997.0</v>
      </c>
      <c r="N80" s="1">
        <v>39.34171902958175</v>
      </c>
      <c r="O80" s="1">
        <v>51.116546</v>
      </c>
      <c r="P80" s="1">
        <v>48.361156</v>
      </c>
      <c r="Q80" s="1">
        <v>31.490967</v>
      </c>
      <c r="R80" s="1">
        <v>56.199538</v>
      </c>
      <c r="S80" s="1">
        <v>33.638999</v>
      </c>
      <c r="T80" s="1">
        <v>19.702463</v>
      </c>
      <c r="U80" s="1">
        <v>39.50346</v>
      </c>
      <c r="V80" s="1">
        <v>42.546619</v>
      </c>
      <c r="W80" s="1">
        <v>64.911207</v>
      </c>
      <c r="X80" s="1">
        <v>64.701729</v>
      </c>
      <c r="Y80" s="4"/>
    </row>
    <row r="81" ht="14.25" customHeight="1">
      <c r="A81" s="1" t="s">
        <v>104</v>
      </c>
      <c r="B81" s="2">
        <v>38944.0</v>
      </c>
      <c r="C81" s="3">
        <v>203.8</v>
      </c>
      <c r="D81" s="1">
        <v>73.2745652173913</v>
      </c>
      <c r="E81" s="1">
        <v>4.6863216</v>
      </c>
      <c r="F81" s="1">
        <v>4.578074</v>
      </c>
      <c r="G81" s="1">
        <v>5.25</v>
      </c>
      <c r="H81" s="1">
        <v>82.954398</v>
      </c>
      <c r="I81" s="1">
        <v>7.0682609</v>
      </c>
      <c r="J81" s="1">
        <v>7.78</v>
      </c>
      <c r="K81" s="1">
        <v>8.1613043</v>
      </c>
      <c r="L81" s="1">
        <v>5.8404348</v>
      </c>
      <c r="M81" s="1">
        <v>16011.0</v>
      </c>
      <c r="N81" s="1">
        <v>39.49121756189416</v>
      </c>
      <c r="O81" s="1">
        <v>51.208556</v>
      </c>
      <c r="P81" s="1">
        <v>48.598125</v>
      </c>
      <c r="Q81" s="1">
        <v>31.582291</v>
      </c>
      <c r="R81" s="1">
        <v>56.373757</v>
      </c>
      <c r="S81" s="1">
        <v>33.696186</v>
      </c>
      <c r="T81" s="1">
        <v>19.751719</v>
      </c>
      <c r="U81" s="1">
        <v>39.922196</v>
      </c>
      <c r="V81" s="1">
        <v>42.644476</v>
      </c>
      <c r="W81" s="1">
        <v>65.10594</v>
      </c>
      <c r="X81" s="1">
        <v>65.309925</v>
      </c>
      <c r="Y81" s="4"/>
    </row>
    <row r="82" ht="14.25" customHeight="1">
      <c r="A82" s="1" t="s">
        <v>105</v>
      </c>
      <c r="B82" s="2">
        <v>38975.0</v>
      </c>
      <c r="C82" s="3">
        <v>202.8</v>
      </c>
      <c r="D82" s="1">
        <v>63.3230952380952</v>
      </c>
      <c r="E82" s="1">
        <v>4.6882733</v>
      </c>
      <c r="F82" s="1">
        <v>4.5869487</v>
      </c>
      <c r="G82" s="1">
        <v>5.25</v>
      </c>
      <c r="H82" s="1">
        <v>92.729462</v>
      </c>
      <c r="I82" s="1">
        <v>7.0714286</v>
      </c>
      <c r="J82" s="1">
        <v>7.7419048</v>
      </c>
      <c r="K82" s="1">
        <v>8.1966667</v>
      </c>
      <c r="L82" s="1">
        <v>6.0380952</v>
      </c>
      <c r="M82" s="1">
        <v>16038.0</v>
      </c>
      <c r="N82" s="1">
        <v>39.60969121457989</v>
      </c>
      <c r="O82" s="1">
        <v>51.362182</v>
      </c>
      <c r="P82" s="1">
        <v>48.928593</v>
      </c>
      <c r="Q82" s="1">
        <v>31.809683</v>
      </c>
      <c r="R82" s="1">
        <v>56.621801</v>
      </c>
      <c r="S82" s="1">
        <v>33.618684</v>
      </c>
      <c r="T82" s="1">
        <v>19.793197</v>
      </c>
      <c r="U82" s="1">
        <v>40.261535</v>
      </c>
      <c r="V82" s="1">
        <v>42.635947</v>
      </c>
      <c r="W82" s="1">
        <v>65.359853</v>
      </c>
      <c r="X82" s="1">
        <v>66.387539</v>
      </c>
      <c r="Y82" s="4"/>
    </row>
    <row r="83" ht="14.25" customHeight="1">
      <c r="A83" s="1" t="s">
        <v>106</v>
      </c>
      <c r="B83" s="2">
        <v>39005.0</v>
      </c>
      <c r="C83" s="3">
        <v>201.9</v>
      </c>
      <c r="D83" s="1">
        <v>58.8181818181818</v>
      </c>
      <c r="E83" s="1">
        <v>4.6922519</v>
      </c>
      <c r="F83" s="1">
        <v>4.5986947</v>
      </c>
      <c r="G83" s="1">
        <v>5.25</v>
      </c>
      <c r="H83" s="1">
        <v>93.066298</v>
      </c>
      <c r="I83" s="1">
        <v>7.1181818</v>
      </c>
      <c r="J83" s="1">
        <v>7.9063636</v>
      </c>
      <c r="K83" s="1">
        <v>8.21</v>
      </c>
      <c r="L83" s="1">
        <v>6.1086364</v>
      </c>
      <c r="M83" s="1">
        <v>16065.0</v>
      </c>
      <c r="N83" s="1">
        <v>39.70475447349491</v>
      </c>
      <c r="O83" s="1">
        <v>51.526541</v>
      </c>
      <c r="P83" s="1">
        <v>49.124307</v>
      </c>
      <c r="Q83" s="1">
        <v>32.315457</v>
      </c>
      <c r="R83" s="1">
        <v>56.887924</v>
      </c>
      <c r="S83" s="1">
        <v>33.800225</v>
      </c>
      <c r="T83" s="1">
        <v>19.904039</v>
      </c>
      <c r="U83" s="1">
        <v>40.048149</v>
      </c>
      <c r="V83" s="1">
        <v>43.011143</v>
      </c>
      <c r="W83" s="1">
        <v>65.510181</v>
      </c>
      <c r="X83" s="1">
        <v>65.219118</v>
      </c>
      <c r="Y83" s="4"/>
    </row>
    <row r="84" ht="14.25" customHeight="1">
      <c r="A84" s="1" t="s">
        <v>107</v>
      </c>
      <c r="B84" s="2">
        <v>39036.0</v>
      </c>
      <c r="C84" s="3">
        <v>202.0</v>
      </c>
      <c r="D84" s="1">
        <v>59.2559090909091</v>
      </c>
      <c r="E84" s="1">
        <v>4.676095</v>
      </c>
      <c r="F84" s="1">
        <v>4.5897938</v>
      </c>
      <c r="G84" s="1">
        <v>5.25</v>
      </c>
      <c r="H84" s="1">
        <v>97.124634</v>
      </c>
      <c r="I84" s="1">
        <v>7.5077273</v>
      </c>
      <c r="J84" s="1">
        <v>8.2331818</v>
      </c>
      <c r="K84" s="1">
        <v>8.4345455</v>
      </c>
      <c r="L84" s="1">
        <v>6.6090909</v>
      </c>
      <c r="M84" s="1">
        <v>16093.0</v>
      </c>
      <c r="N84" s="1">
        <v>39.94695347578319</v>
      </c>
      <c r="O84" s="1">
        <v>51.954211</v>
      </c>
      <c r="P84" s="1">
        <v>49.139044</v>
      </c>
      <c r="Q84" s="1">
        <v>32.360699</v>
      </c>
      <c r="R84" s="1">
        <v>57.274762</v>
      </c>
      <c r="S84" s="1">
        <v>34.209208</v>
      </c>
      <c r="T84" s="1">
        <v>19.941857</v>
      </c>
      <c r="U84" s="1">
        <v>39.976062</v>
      </c>
      <c r="V84" s="1">
        <v>43.441255</v>
      </c>
      <c r="W84" s="1">
        <v>65.752569</v>
      </c>
      <c r="X84" s="1">
        <v>64.899545</v>
      </c>
      <c r="Y84" s="4"/>
    </row>
    <row r="85" ht="14.25" customHeight="1">
      <c r="A85" s="1" t="s">
        <v>108</v>
      </c>
      <c r="B85" s="2">
        <v>39066.0</v>
      </c>
      <c r="C85" s="3">
        <v>203.1</v>
      </c>
      <c r="D85" s="1">
        <v>62.1445238095238</v>
      </c>
      <c r="E85" s="1">
        <v>4.6636974</v>
      </c>
      <c r="F85" s="1">
        <v>4.5773727</v>
      </c>
      <c r="G85" s="1">
        <v>5.24</v>
      </c>
      <c r="H85" s="1">
        <v>100.17149</v>
      </c>
      <c r="I85" s="1">
        <v>8.0542857</v>
      </c>
      <c r="J85" s="1">
        <v>8.5352381</v>
      </c>
      <c r="K85" s="1">
        <v>8.6895238</v>
      </c>
      <c r="L85" s="1">
        <v>7.0847619</v>
      </c>
      <c r="M85" s="1">
        <v>16073.0</v>
      </c>
      <c r="N85" s="1">
        <v>40.15467763385731</v>
      </c>
      <c r="O85" s="1">
        <v>51.912648</v>
      </c>
      <c r="P85" s="1">
        <v>49.483018</v>
      </c>
      <c r="Q85" s="1">
        <v>32.376879</v>
      </c>
      <c r="R85" s="1">
        <v>57.669957</v>
      </c>
      <c r="S85" s="1">
        <v>34.452093</v>
      </c>
      <c r="T85" s="1">
        <v>19.979747</v>
      </c>
      <c r="U85" s="1">
        <v>40.191933</v>
      </c>
      <c r="V85" s="1">
        <v>43.771408</v>
      </c>
      <c r="W85" s="1">
        <v>65.864348</v>
      </c>
      <c r="X85" s="1">
        <v>64.951464</v>
      </c>
      <c r="Y85" s="4"/>
    </row>
    <row r="86" ht="14.25" customHeight="1">
      <c r="A86" s="1" t="s">
        <v>109</v>
      </c>
      <c r="B86" s="2">
        <v>39097.0</v>
      </c>
      <c r="C86" s="3">
        <v>203.437</v>
      </c>
      <c r="D86" s="1">
        <v>54.6415217391304</v>
      </c>
      <c r="E86" s="1">
        <v>4.6761268</v>
      </c>
      <c r="F86" s="1">
        <v>4.5971591</v>
      </c>
      <c r="G86" s="1">
        <v>5.25</v>
      </c>
      <c r="H86" s="1">
        <v>103.03496</v>
      </c>
      <c r="I86" s="1">
        <v>8.3430435</v>
      </c>
      <c r="J86" s="1">
        <v>8.6817391</v>
      </c>
      <c r="K86" s="1">
        <v>8.8208696</v>
      </c>
      <c r="L86" s="1">
        <v>7.22</v>
      </c>
      <c r="M86" s="1">
        <v>16061.0</v>
      </c>
      <c r="N86" s="1">
        <v>40.57630174901277</v>
      </c>
      <c r="O86" s="1">
        <v>52.769206</v>
      </c>
      <c r="P86" s="1">
        <v>49.982796</v>
      </c>
      <c r="Q86" s="1">
        <v>32.438395</v>
      </c>
      <c r="R86" s="1">
        <v>57.95254</v>
      </c>
      <c r="S86" s="1">
        <v>34.841402</v>
      </c>
      <c r="T86" s="1">
        <v>20.023702</v>
      </c>
      <c r="U86" s="1">
        <v>41.429845</v>
      </c>
      <c r="V86" s="1">
        <v>44.160974</v>
      </c>
      <c r="W86" s="1">
        <v>65.943385</v>
      </c>
      <c r="X86" s="1">
        <v>64.98394</v>
      </c>
      <c r="Y86" s="4"/>
    </row>
    <row r="87" ht="14.25" customHeight="1">
      <c r="A87" s="1" t="s">
        <v>110</v>
      </c>
      <c r="B87" s="2">
        <v>39128.0</v>
      </c>
      <c r="C87" s="3">
        <v>204.226</v>
      </c>
      <c r="D87" s="1">
        <v>58.6195</v>
      </c>
      <c r="E87" s="1">
        <v>4.677949</v>
      </c>
      <c r="F87" s="1">
        <v>4.6021178</v>
      </c>
      <c r="G87" s="1">
        <v>5.26</v>
      </c>
      <c r="H87" s="1">
        <v>101.36793</v>
      </c>
      <c r="I87" s="1">
        <v>7.656</v>
      </c>
      <c r="J87" s="1">
        <v>8.113</v>
      </c>
      <c r="K87" s="1">
        <v>8.3685</v>
      </c>
      <c r="L87" s="1">
        <v>5.711</v>
      </c>
      <c r="M87" s="1">
        <v>15994.0</v>
      </c>
      <c r="N87" s="1">
        <v>41.45680749696635</v>
      </c>
      <c r="O87" s="1">
        <v>54.09899</v>
      </c>
      <c r="P87" s="1">
        <v>50.622576</v>
      </c>
      <c r="Q87" s="1">
        <v>32.503272</v>
      </c>
      <c r="R87" s="1">
        <v>58.566837</v>
      </c>
      <c r="S87" s="1">
        <v>36.04343</v>
      </c>
      <c r="T87" s="1">
        <v>20.103797</v>
      </c>
      <c r="U87" s="1">
        <v>42.20044</v>
      </c>
      <c r="V87" s="1">
        <v>45.159012</v>
      </c>
      <c r="W87" s="1">
        <v>67.334791</v>
      </c>
      <c r="X87" s="1">
        <v>65.029429</v>
      </c>
      <c r="Y87" s="4"/>
    </row>
    <row r="88" ht="14.25" customHeight="1">
      <c r="A88" s="1" t="s">
        <v>111</v>
      </c>
      <c r="B88" s="2">
        <v>39156.0</v>
      </c>
      <c r="C88" s="3">
        <v>205.288</v>
      </c>
      <c r="D88" s="1">
        <v>61.4606818181818</v>
      </c>
      <c r="E88" s="1">
        <v>4.6679488</v>
      </c>
      <c r="F88" s="1">
        <v>4.5942113</v>
      </c>
      <c r="G88" s="1">
        <v>5.26</v>
      </c>
      <c r="H88" s="1">
        <v>116.27307</v>
      </c>
      <c r="I88" s="1">
        <v>6.0563636</v>
      </c>
      <c r="J88" s="1">
        <v>7.3</v>
      </c>
      <c r="K88" s="1">
        <v>7.7277273</v>
      </c>
      <c r="L88" s="1">
        <v>4.4459091</v>
      </c>
      <c r="M88" s="1">
        <v>16012.0</v>
      </c>
      <c r="N88" s="1">
        <v>41.365602520473</v>
      </c>
      <c r="O88" s="1">
        <v>53.709478</v>
      </c>
      <c r="P88" s="1">
        <v>50.49602</v>
      </c>
      <c r="Q88" s="1">
        <v>32.522774</v>
      </c>
      <c r="R88" s="1">
        <v>58.648831</v>
      </c>
      <c r="S88" s="1">
        <v>35.892048</v>
      </c>
      <c r="T88" s="1">
        <v>20.162098</v>
      </c>
      <c r="U88" s="1">
        <v>42.158239</v>
      </c>
      <c r="V88" s="1">
        <v>44.910637</v>
      </c>
      <c r="W88" s="1">
        <v>66.553707</v>
      </c>
      <c r="X88" s="1">
        <v>65.400097</v>
      </c>
      <c r="Y88" s="4"/>
    </row>
    <row r="89" ht="14.25" customHeight="1">
      <c r="A89" s="1" t="s">
        <v>112</v>
      </c>
      <c r="B89" s="2">
        <v>39187.0</v>
      </c>
      <c r="C89" s="3">
        <v>205.904</v>
      </c>
      <c r="D89" s="1">
        <v>65.832619047619</v>
      </c>
      <c r="E89" s="1">
        <v>4.6576084</v>
      </c>
      <c r="F89" s="1">
        <v>4.5860157</v>
      </c>
      <c r="G89" s="1">
        <v>5.25</v>
      </c>
      <c r="H89" s="1">
        <v>127.75374</v>
      </c>
      <c r="I89" s="1">
        <v>5.907619</v>
      </c>
      <c r="J89" s="1">
        <v>7.1471429</v>
      </c>
      <c r="K89" s="1">
        <v>7.5738095</v>
      </c>
      <c r="L89" s="1">
        <v>4.247619</v>
      </c>
      <c r="M89" s="1">
        <v>16039.0</v>
      </c>
      <c r="N89" s="1">
        <v>41.56829397282329</v>
      </c>
      <c r="O89" s="1">
        <v>53.612801</v>
      </c>
      <c r="P89" s="1">
        <v>50.7384</v>
      </c>
      <c r="Q89" s="1">
        <v>32.578063</v>
      </c>
      <c r="R89" s="1">
        <v>58.906886</v>
      </c>
      <c r="S89" s="1">
        <v>36.049973</v>
      </c>
      <c r="T89" s="1">
        <v>20.264924</v>
      </c>
      <c r="U89" s="1">
        <v>42.562958</v>
      </c>
      <c r="V89" s="1">
        <v>45.112735</v>
      </c>
      <c r="W89" s="1">
        <v>66.533741</v>
      </c>
      <c r="X89" s="1">
        <v>66.086798</v>
      </c>
      <c r="Y89" s="4"/>
    </row>
    <row r="90" ht="14.25" customHeight="1">
      <c r="A90" s="1" t="s">
        <v>113</v>
      </c>
      <c r="B90" s="2">
        <v>39217.0</v>
      </c>
      <c r="C90" s="3">
        <v>206.755</v>
      </c>
      <c r="D90" s="1">
        <v>65.615652173913</v>
      </c>
      <c r="E90" s="1">
        <v>4.6564969</v>
      </c>
      <c r="F90" s="1">
        <v>4.5887206</v>
      </c>
      <c r="G90" s="1">
        <v>5.25</v>
      </c>
      <c r="H90" s="1">
        <v>138.17759</v>
      </c>
      <c r="I90" s="1">
        <v>5.7878261</v>
      </c>
      <c r="J90" s="1">
        <v>7.1226087</v>
      </c>
      <c r="K90" s="1">
        <v>7.6013043</v>
      </c>
      <c r="L90" s="1">
        <v>4.0173913</v>
      </c>
      <c r="M90" s="1">
        <v>16062.0</v>
      </c>
      <c r="N90" s="1">
        <v>41.88836983641404</v>
      </c>
      <c r="O90" s="1">
        <v>53.730749</v>
      </c>
      <c r="P90" s="1">
        <v>50.981945</v>
      </c>
      <c r="Q90" s="1">
        <v>32.600867</v>
      </c>
      <c r="R90" s="1">
        <v>59.28389</v>
      </c>
      <c r="S90" s="1">
        <v>36.424893</v>
      </c>
      <c r="T90" s="1">
        <v>20.388541</v>
      </c>
      <c r="U90" s="1">
        <v>42.933256</v>
      </c>
      <c r="V90" s="1">
        <v>45.433036</v>
      </c>
      <c r="W90" s="1">
        <v>66.819836</v>
      </c>
      <c r="X90" s="1">
        <v>66.463492</v>
      </c>
      <c r="Y90" s="4"/>
    </row>
    <row r="91" ht="14.25" customHeight="1">
      <c r="A91" s="1" t="s">
        <v>114</v>
      </c>
      <c r="B91" s="2">
        <v>39248.0</v>
      </c>
      <c r="C91" s="3">
        <v>207.234</v>
      </c>
      <c r="D91" s="1">
        <v>69.0488095238095</v>
      </c>
      <c r="E91" s="1">
        <v>4.6576926</v>
      </c>
      <c r="F91" s="1">
        <v>4.5959207</v>
      </c>
      <c r="G91" s="1">
        <v>5.25</v>
      </c>
      <c r="H91" s="1">
        <v>127.75178</v>
      </c>
      <c r="I91" s="1">
        <v>7.0695238</v>
      </c>
      <c r="J91" s="1">
        <v>7.8552381</v>
      </c>
      <c r="K91" s="1">
        <v>8.1495238</v>
      </c>
      <c r="L91" s="1">
        <v>5.7661905</v>
      </c>
      <c r="M91" s="1">
        <v>16109.0</v>
      </c>
      <c r="N91" s="1">
        <v>42.24442098002363</v>
      </c>
      <c r="O91" s="1">
        <v>53.816718</v>
      </c>
      <c r="P91" s="1">
        <v>51.226658</v>
      </c>
      <c r="Q91" s="1">
        <v>32.656289</v>
      </c>
      <c r="R91" s="1">
        <v>59.509168</v>
      </c>
      <c r="S91" s="1">
        <v>36.796427</v>
      </c>
      <c r="T91" s="1">
        <v>20.553688</v>
      </c>
      <c r="U91" s="1">
        <v>43.504268</v>
      </c>
      <c r="V91" s="1">
        <v>45.655657</v>
      </c>
      <c r="W91" s="1">
        <v>67.655084</v>
      </c>
      <c r="X91" s="1">
        <v>67.06831</v>
      </c>
      <c r="Y91" s="4"/>
    </row>
    <row r="92" ht="14.25" customHeight="1">
      <c r="A92" s="1" t="s">
        <v>115</v>
      </c>
      <c r="B92" s="2">
        <v>39278.0</v>
      </c>
      <c r="C92" s="3">
        <v>207.603</v>
      </c>
      <c r="D92" s="1">
        <v>75.0897727272727</v>
      </c>
      <c r="E92" s="1">
        <v>4.6422594</v>
      </c>
      <c r="F92" s="1">
        <v>4.589463</v>
      </c>
      <c r="G92" s="1">
        <v>5.26</v>
      </c>
      <c r="H92" s="1">
        <v>140.71861</v>
      </c>
      <c r="I92" s="1">
        <v>5.8622727</v>
      </c>
      <c r="J92" s="1">
        <v>7.0172727</v>
      </c>
      <c r="K92" s="1">
        <v>7.7813636</v>
      </c>
      <c r="L92" s="1">
        <v>3.9609091</v>
      </c>
      <c r="M92" s="1">
        <v>16139.0</v>
      </c>
      <c r="N92" s="1">
        <v>42.64151853723583</v>
      </c>
      <c r="O92" s="1">
        <v>53.962023</v>
      </c>
      <c r="P92" s="1">
        <v>51.477669</v>
      </c>
      <c r="Q92" s="1">
        <v>32.682414</v>
      </c>
      <c r="R92" s="1">
        <v>59.800763</v>
      </c>
      <c r="S92" s="1">
        <v>37.38149</v>
      </c>
      <c r="T92" s="1">
        <v>20.695508</v>
      </c>
      <c r="U92" s="1">
        <v>43.82185</v>
      </c>
      <c r="V92" s="1">
        <v>45.865673</v>
      </c>
      <c r="W92" s="1">
        <v>67.837753</v>
      </c>
      <c r="X92" s="1">
        <v>67.175619</v>
      </c>
      <c r="Y92" s="4"/>
    </row>
    <row r="93" ht="14.25" customHeight="1">
      <c r="A93" s="1" t="s">
        <v>116</v>
      </c>
      <c r="B93" s="2">
        <v>39309.0</v>
      </c>
      <c r="C93" s="3">
        <v>207.667</v>
      </c>
      <c r="D93" s="1">
        <v>71.8526086956521</v>
      </c>
      <c r="E93" s="1">
        <v>4.6363241</v>
      </c>
      <c r="F93" s="1">
        <v>4.5885635</v>
      </c>
      <c r="G93" s="1">
        <v>5.02</v>
      </c>
      <c r="H93" s="1">
        <v>149.90938</v>
      </c>
      <c r="I93" s="1">
        <v>5.5178261</v>
      </c>
      <c r="J93" s="1">
        <v>6.6665217</v>
      </c>
      <c r="K93" s="1">
        <v>7.6321739</v>
      </c>
      <c r="L93" s="1">
        <v>3.5617391</v>
      </c>
      <c r="M93" s="1">
        <v>16240.0</v>
      </c>
      <c r="N93" s="1">
        <v>42.87604688919062</v>
      </c>
      <c r="O93" s="1">
        <v>54.231833</v>
      </c>
      <c r="P93" s="1">
        <v>51.673284</v>
      </c>
      <c r="Q93" s="1">
        <v>32.773924</v>
      </c>
      <c r="R93" s="1">
        <v>59.968206</v>
      </c>
      <c r="S93" s="1">
        <v>37.710447</v>
      </c>
      <c r="T93" s="1">
        <v>20.830029</v>
      </c>
      <c r="U93" s="1">
        <v>43.887582</v>
      </c>
      <c r="V93" s="1">
        <v>46.085829</v>
      </c>
      <c r="W93" s="1">
        <v>67.946293</v>
      </c>
      <c r="X93" s="1">
        <v>67.276383</v>
      </c>
      <c r="Y93" s="4"/>
    </row>
    <row r="94" ht="14.25" customHeight="1">
      <c r="A94" s="1" t="s">
        <v>117</v>
      </c>
      <c r="B94" s="2">
        <v>39340.0</v>
      </c>
      <c r="C94" s="3">
        <v>208.547</v>
      </c>
      <c r="D94" s="1">
        <v>78.2025</v>
      </c>
      <c r="E94" s="1">
        <v>4.6254365</v>
      </c>
      <c r="F94" s="1">
        <v>4.583445</v>
      </c>
      <c r="G94" s="1">
        <v>4.94</v>
      </c>
      <c r="H94" s="1">
        <v>167.1861</v>
      </c>
      <c r="I94" s="1">
        <v>6.973</v>
      </c>
      <c r="J94" s="1">
        <v>7.744</v>
      </c>
      <c r="K94" s="1">
        <v>8.23</v>
      </c>
      <c r="L94" s="1">
        <v>5.469</v>
      </c>
      <c r="M94" s="1">
        <v>16238.5</v>
      </c>
      <c r="N94" s="1">
        <v>43.09471472832547</v>
      </c>
      <c r="O94" s="1">
        <v>54.264372</v>
      </c>
      <c r="P94" s="1">
        <v>51.833471</v>
      </c>
      <c r="Q94" s="1">
        <v>32.901743</v>
      </c>
      <c r="R94" s="1">
        <v>60.118126</v>
      </c>
      <c r="S94" s="1">
        <v>38.095094</v>
      </c>
      <c r="T94" s="1">
        <v>21.019582</v>
      </c>
      <c r="U94" s="1">
        <v>44.076299</v>
      </c>
      <c r="V94" s="1">
        <v>46.279389</v>
      </c>
      <c r="W94" s="1">
        <v>67.341571</v>
      </c>
      <c r="X94" s="1">
        <v>66.711261</v>
      </c>
      <c r="Y94" s="4"/>
    </row>
    <row r="95" ht="14.25" customHeight="1">
      <c r="A95" s="1" t="s">
        <v>118</v>
      </c>
      <c r="B95" s="2">
        <v>39370.0</v>
      </c>
      <c r="C95" s="3">
        <v>209.19</v>
      </c>
      <c r="D95" s="1">
        <v>84.216956521739</v>
      </c>
      <c r="E95" s="1">
        <v>4.6188172</v>
      </c>
      <c r="F95" s="1">
        <v>4.5845641</v>
      </c>
      <c r="G95" s="1">
        <v>4.76</v>
      </c>
      <c r="H95" s="1">
        <v>186.59026</v>
      </c>
      <c r="I95" s="1">
        <v>6.8930435</v>
      </c>
      <c r="J95" s="1">
        <v>7.8552174</v>
      </c>
      <c r="K95" s="1">
        <v>8.246087</v>
      </c>
      <c r="L95" s="1">
        <v>5.6869565</v>
      </c>
      <c r="M95" s="1">
        <v>16109.0</v>
      </c>
      <c r="N95" s="1">
        <v>43.41361561731508</v>
      </c>
      <c r="O95" s="1">
        <v>54.486856</v>
      </c>
      <c r="P95" s="1">
        <v>51.983788</v>
      </c>
      <c r="Q95" s="1">
        <v>32.967546</v>
      </c>
      <c r="R95" s="1">
        <v>60.244374</v>
      </c>
      <c r="S95" s="1">
        <v>38.51033</v>
      </c>
      <c r="T95" s="1">
        <v>21.189841</v>
      </c>
      <c r="U95" s="1">
        <v>44.741851</v>
      </c>
      <c r="V95" s="1">
        <v>46.487646</v>
      </c>
      <c r="W95" s="1">
        <v>66.849978</v>
      </c>
      <c r="X95" s="1">
        <v>66.737946</v>
      </c>
      <c r="Y95" s="4"/>
    </row>
    <row r="96" ht="14.25" customHeight="1">
      <c r="A96" s="1" t="s">
        <v>119</v>
      </c>
      <c r="B96" s="2">
        <v>39401.0</v>
      </c>
      <c r="C96" s="3">
        <v>210.834</v>
      </c>
      <c r="D96" s="1">
        <v>93.7488636363636</v>
      </c>
      <c r="E96" s="1">
        <v>4.5974498</v>
      </c>
      <c r="F96" s="1">
        <v>4.5741246</v>
      </c>
      <c r="G96" s="1">
        <v>4.49</v>
      </c>
      <c r="H96" s="1">
        <v>187.09776</v>
      </c>
      <c r="I96" s="1">
        <v>7.8959091</v>
      </c>
      <c r="J96" s="1">
        <v>8.5154545</v>
      </c>
      <c r="K96" s="1">
        <v>8.7454545</v>
      </c>
      <c r="L96" s="1">
        <v>6.8590909</v>
      </c>
      <c r="M96" s="1">
        <v>16141.0</v>
      </c>
      <c r="N96" s="1">
        <v>43.94760308940806</v>
      </c>
      <c r="O96" s="1">
        <v>54.704804</v>
      </c>
      <c r="P96" s="1">
        <v>52.191723</v>
      </c>
      <c r="Q96" s="1">
        <v>32.987327</v>
      </c>
      <c r="R96" s="1">
        <v>60.364863</v>
      </c>
      <c r="S96" s="1">
        <v>39.303643</v>
      </c>
      <c r="T96" s="1">
        <v>21.257648</v>
      </c>
      <c r="U96" s="1">
        <v>45.578524</v>
      </c>
      <c r="V96" s="1">
        <v>46.96182</v>
      </c>
      <c r="W96" s="1">
        <v>66.783128</v>
      </c>
      <c r="X96" s="1">
        <v>66.751293</v>
      </c>
      <c r="Y96" s="4"/>
    </row>
    <row r="97" ht="14.25" customHeight="1">
      <c r="A97" s="1" t="s">
        <v>120</v>
      </c>
      <c r="B97" s="2">
        <v>39431.0</v>
      </c>
      <c r="C97" s="3">
        <v>211.445</v>
      </c>
      <c r="D97" s="1">
        <v>91.6471428571428</v>
      </c>
      <c r="E97" s="1">
        <v>4.6051702</v>
      </c>
      <c r="F97" s="1">
        <v>4.6051702</v>
      </c>
      <c r="G97" s="1">
        <v>4.24</v>
      </c>
      <c r="H97" s="1">
        <v>180.21469</v>
      </c>
      <c r="I97" s="1">
        <v>8.2780952</v>
      </c>
      <c r="J97" s="1">
        <v>8.8509524</v>
      </c>
      <c r="K97" s="1">
        <v>9.0838095</v>
      </c>
      <c r="L97" s="1">
        <v>6.4895238</v>
      </c>
      <c r="M97" s="1">
        <v>16117.0</v>
      </c>
      <c r="N97" s="1">
        <v>45.22647833930984</v>
      </c>
      <c r="O97" s="1">
        <v>55.432378</v>
      </c>
      <c r="P97" s="1">
        <v>52.797147</v>
      </c>
      <c r="Q97" s="1">
        <v>33.013717</v>
      </c>
      <c r="R97" s="1">
        <v>60.642541</v>
      </c>
      <c r="S97" s="1">
        <v>40.970117</v>
      </c>
      <c r="T97" s="1">
        <v>21.38732</v>
      </c>
      <c r="U97" s="1">
        <v>47.073499</v>
      </c>
      <c r="V97" s="1">
        <v>47.717906</v>
      </c>
      <c r="W97" s="1">
        <v>66.976799</v>
      </c>
      <c r="X97" s="1">
        <v>69.675</v>
      </c>
      <c r="Y97" s="4"/>
    </row>
    <row r="98" ht="14.25" customHeight="1">
      <c r="A98" s="1" t="s">
        <v>121</v>
      </c>
      <c r="B98" s="2">
        <v>39462.0</v>
      </c>
      <c r="C98" s="3">
        <v>212.174</v>
      </c>
      <c r="D98" s="1">
        <v>92.5371739130435</v>
      </c>
      <c r="E98" s="1">
        <v>4.5947858</v>
      </c>
      <c r="F98" s="1">
        <v>4.6139232</v>
      </c>
      <c r="G98" s="1">
        <v>3.94</v>
      </c>
      <c r="H98" s="1">
        <v>148.23811</v>
      </c>
      <c r="I98" s="1">
        <v>8.9473913</v>
      </c>
      <c r="J98" s="1">
        <v>9.0813043</v>
      </c>
      <c r="K98" s="1">
        <v>9.2134783</v>
      </c>
      <c r="L98" s="1">
        <v>7.8243478</v>
      </c>
      <c r="M98" s="1">
        <v>16104.0</v>
      </c>
      <c r="N98" s="1">
        <v>46.30286852378541</v>
      </c>
      <c r="O98" s="1">
        <v>56.413531</v>
      </c>
      <c r="P98" s="1">
        <v>53.536307</v>
      </c>
      <c r="Q98" s="1">
        <v>33.079744</v>
      </c>
      <c r="R98" s="1">
        <v>61.158003</v>
      </c>
      <c r="S98" s="1">
        <v>42.510594</v>
      </c>
      <c r="T98" s="1">
        <v>21.530615</v>
      </c>
      <c r="U98" s="1">
        <v>48.429216</v>
      </c>
      <c r="V98" s="1">
        <v>48.958571</v>
      </c>
      <c r="W98" s="1">
        <v>67.016985</v>
      </c>
      <c r="X98" s="1">
        <v>69.654097</v>
      </c>
      <c r="Y98" s="4"/>
    </row>
    <row r="99" ht="14.25" customHeight="1">
      <c r="A99" s="1" t="s">
        <v>122</v>
      </c>
      <c r="B99" s="2">
        <v>39493.0</v>
      </c>
      <c r="C99" s="3">
        <v>212.687</v>
      </c>
      <c r="D99" s="1">
        <v>95.0419047619048</v>
      </c>
      <c r="E99" s="1">
        <v>4.5905345</v>
      </c>
      <c r="F99" s="1">
        <v>4.624812</v>
      </c>
      <c r="G99" s="1">
        <v>2.98</v>
      </c>
      <c r="H99" s="1">
        <v>143.94545</v>
      </c>
      <c r="I99" s="1">
        <v>10.182381</v>
      </c>
      <c r="J99" s="1">
        <v>9.8780952</v>
      </c>
      <c r="K99" s="1">
        <v>9.8290476</v>
      </c>
      <c r="L99" s="1">
        <v>9.157619</v>
      </c>
      <c r="M99" s="1">
        <v>16070.0</v>
      </c>
      <c r="N99" s="1">
        <v>47.95125064323212</v>
      </c>
      <c r="O99" s="1">
        <v>57.479746</v>
      </c>
      <c r="P99" s="1">
        <v>54.264401</v>
      </c>
      <c r="Q99" s="1">
        <v>33.112824</v>
      </c>
      <c r="R99" s="1">
        <v>61.604456</v>
      </c>
      <c r="S99" s="1">
        <v>45.137748</v>
      </c>
      <c r="T99" s="1">
        <v>21.629656</v>
      </c>
      <c r="U99" s="1">
        <v>49.102382</v>
      </c>
      <c r="V99" s="1">
        <v>50.623163</v>
      </c>
      <c r="W99" s="1">
        <v>68.585182</v>
      </c>
      <c r="X99" s="1">
        <v>70.705874</v>
      </c>
      <c r="Y99" s="4"/>
    </row>
    <row r="100" ht="14.25" customHeight="1">
      <c r="A100" s="1" t="s">
        <v>123</v>
      </c>
      <c r="B100" s="2">
        <v>39522.0</v>
      </c>
      <c r="C100" s="3">
        <v>213.448</v>
      </c>
      <c r="D100" s="1">
        <v>104.332857142857</v>
      </c>
      <c r="E100" s="1">
        <v>4.5642386</v>
      </c>
      <c r="F100" s="1">
        <v>4.6287043</v>
      </c>
      <c r="G100" s="1">
        <v>2.61</v>
      </c>
      <c r="H100" s="1">
        <v>159.70701</v>
      </c>
      <c r="I100" s="1">
        <v>9.2442857</v>
      </c>
      <c r="J100" s="1">
        <v>9.9047619</v>
      </c>
      <c r="K100" s="1">
        <v>10.004286</v>
      </c>
      <c r="L100" s="1">
        <v>6.1338095</v>
      </c>
      <c r="M100" s="1">
        <v>16004.0</v>
      </c>
      <c r="N100" s="1">
        <v>49.38499303746477</v>
      </c>
      <c r="O100" s="1">
        <v>57.859113</v>
      </c>
      <c r="P100" s="1">
        <v>54.747354</v>
      </c>
      <c r="Q100" s="1">
        <v>33.212162</v>
      </c>
      <c r="R100" s="1">
        <v>62.534684</v>
      </c>
      <c r="S100" s="1">
        <v>46.889093</v>
      </c>
      <c r="T100" s="1">
        <v>21.787552</v>
      </c>
      <c r="U100" s="1">
        <v>50.845517</v>
      </c>
      <c r="V100" s="1">
        <v>50.673786</v>
      </c>
      <c r="W100" s="1">
        <v>69.469931</v>
      </c>
      <c r="X100" s="1">
        <v>74.778533</v>
      </c>
      <c r="Y100" s="4"/>
    </row>
    <row r="101" ht="14.25" customHeight="1">
      <c r="A101" s="1" t="s">
        <v>124</v>
      </c>
      <c r="B101" s="2">
        <v>39553.0</v>
      </c>
      <c r="C101" s="3">
        <v>213.942</v>
      </c>
      <c r="D101" s="1">
        <v>111.184772727273</v>
      </c>
      <c r="E101" s="1">
        <v>4.5644376</v>
      </c>
      <c r="F101" s="1">
        <v>4.6475319</v>
      </c>
      <c r="G101" s="1">
        <v>2.28</v>
      </c>
      <c r="H101" s="1">
        <v>162.38085</v>
      </c>
      <c r="I101" s="1">
        <v>11.079545</v>
      </c>
      <c r="J101" s="1">
        <v>11.086364</v>
      </c>
      <c r="K101" s="1">
        <v>11.051818</v>
      </c>
      <c r="L101" s="1">
        <v>9.1777273</v>
      </c>
      <c r="M101" s="1">
        <v>15960.0</v>
      </c>
      <c r="N101" s="1">
        <v>50.47146288428901</v>
      </c>
      <c r="O101" s="1">
        <v>58.252555</v>
      </c>
      <c r="P101" s="1">
        <v>55.272929</v>
      </c>
      <c r="Q101" s="1">
        <v>33.338369</v>
      </c>
      <c r="R101" s="1">
        <v>63.128763</v>
      </c>
      <c r="S101" s="1">
        <v>48.347344</v>
      </c>
      <c r="T101" s="1">
        <v>21.964031</v>
      </c>
      <c r="U101" s="1">
        <v>52.177669</v>
      </c>
      <c r="V101" s="1">
        <v>50.942357</v>
      </c>
      <c r="W101" s="1">
        <v>69.838122</v>
      </c>
      <c r="X101" s="1">
        <v>76.520873</v>
      </c>
      <c r="Y101" s="4"/>
    </row>
    <row r="102" ht="14.25" customHeight="1">
      <c r="A102" s="1" t="s">
        <v>125</v>
      </c>
      <c r="B102" s="2">
        <v>39583.0</v>
      </c>
      <c r="C102" s="3">
        <v>215.208</v>
      </c>
      <c r="D102" s="1">
        <v>124.766818181818</v>
      </c>
      <c r="E102" s="1">
        <v>4.5726331</v>
      </c>
      <c r="F102" s="1">
        <v>4.6862927</v>
      </c>
      <c r="G102" s="1">
        <v>1.98</v>
      </c>
      <c r="H102" s="1">
        <v>188.84801</v>
      </c>
      <c r="I102" s="1">
        <v>13.588182</v>
      </c>
      <c r="J102" s="1">
        <v>13.973182</v>
      </c>
      <c r="K102" s="1">
        <v>13.813182</v>
      </c>
      <c r="L102" s="1">
        <v>11.173182</v>
      </c>
      <c r="M102" s="1">
        <v>16022.0</v>
      </c>
      <c r="N102" s="1">
        <v>52.44489708306468</v>
      </c>
      <c r="O102" s="1">
        <v>59.347703</v>
      </c>
      <c r="P102" s="1">
        <v>55.803549</v>
      </c>
      <c r="Q102" s="1">
        <v>33.488391</v>
      </c>
      <c r="R102" s="1">
        <v>63.715861</v>
      </c>
      <c r="S102" s="1">
        <v>51.852526</v>
      </c>
      <c r="T102" s="1">
        <v>22.069459</v>
      </c>
      <c r="U102" s="1">
        <v>52.803801</v>
      </c>
      <c r="V102" s="1">
        <v>51.110467</v>
      </c>
      <c r="W102" s="1">
        <v>70.236199</v>
      </c>
      <c r="X102" s="1">
        <v>76.781044</v>
      </c>
      <c r="Y102" s="4"/>
    </row>
    <row r="103" ht="14.25" customHeight="1">
      <c r="A103" s="1" t="s">
        <v>126</v>
      </c>
      <c r="B103" s="2">
        <v>39614.0</v>
      </c>
      <c r="C103" s="3">
        <v>217.463</v>
      </c>
      <c r="D103" s="1">
        <v>133.344285714285</v>
      </c>
      <c r="E103" s="1">
        <v>4.5571764</v>
      </c>
      <c r="F103" s="1">
        <v>4.6840445</v>
      </c>
      <c r="G103" s="1">
        <v>2.0</v>
      </c>
      <c r="H103" s="1">
        <v>182.2882</v>
      </c>
      <c r="I103" s="1">
        <v>17.193804</v>
      </c>
      <c r="J103" s="1">
        <v>17.644281</v>
      </c>
      <c r="K103" s="1">
        <v>17.640948</v>
      </c>
      <c r="L103" s="1">
        <v>14.594286</v>
      </c>
      <c r="M103" s="1">
        <v>16347.0</v>
      </c>
      <c r="N103" s="1">
        <v>53.56721788064227</v>
      </c>
      <c r="O103" s="1">
        <v>59.982723</v>
      </c>
      <c r="P103" s="1">
        <v>56.316942</v>
      </c>
      <c r="Q103" s="1">
        <v>33.712763</v>
      </c>
      <c r="R103" s="1">
        <v>64.531424</v>
      </c>
      <c r="S103" s="1">
        <v>53.558474</v>
      </c>
      <c r="T103" s="1">
        <v>22.215117</v>
      </c>
      <c r="U103" s="1">
        <v>53.822915</v>
      </c>
      <c r="V103" s="1">
        <v>51.601127</v>
      </c>
      <c r="W103" s="1">
        <v>70.517144</v>
      </c>
      <c r="X103" s="1">
        <v>77.049777</v>
      </c>
      <c r="Y103" s="4"/>
    </row>
    <row r="104" ht="14.25" customHeight="1">
      <c r="A104" s="1" t="s">
        <v>127</v>
      </c>
      <c r="B104" s="2">
        <v>39644.0</v>
      </c>
      <c r="C104" s="3">
        <v>219.016</v>
      </c>
      <c r="D104" s="1">
        <v>133.771739130434</v>
      </c>
      <c r="E104" s="1">
        <v>4.5405823</v>
      </c>
      <c r="F104" s="1">
        <v>4.6764225</v>
      </c>
      <c r="G104" s="1">
        <v>2.01</v>
      </c>
      <c r="H104" s="1">
        <v>168.0712</v>
      </c>
      <c r="I104" s="1">
        <v>18.935647</v>
      </c>
      <c r="J104" s="1">
        <v>19.339126</v>
      </c>
      <c r="K104" s="1">
        <v>19.170429</v>
      </c>
      <c r="L104" s="1">
        <v>16.222603</v>
      </c>
      <c r="M104" s="1">
        <v>16507.0</v>
      </c>
      <c r="N104" s="1">
        <v>54.17252744269353</v>
      </c>
      <c r="O104" s="1">
        <v>60.570554</v>
      </c>
      <c r="P104" s="1">
        <v>57.105379</v>
      </c>
      <c r="Q104" s="1">
        <v>34.056634</v>
      </c>
      <c r="R104" s="1">
        <v>65.518754</v>
      </c>
      <c r="S104" s="1">
        <v>54.088703</v>
      </c>
      <c r="T104" s="1">
        <v>22.65942</v>
      </c>
      <c r="U104" s="1">
        <v>54.721757</v>
      </c>
      <c r="V104" s="1">
        <v>52.18938</v>
      </c>
      <c r="W104" s="1">
        <v>71.11654</v>
      </c>
      <c r="X104" s="1">
        <v>77.473551</v>
      </c>
      <c r="Y104" s="4"/>
    </row>
    <row r="105" ht="14.25" customHeight="1">
      <c r="A105" s="1" t="s">
        <v>128</v>
      </c>
      <c r="B105" s="2">
        <v>39675.0</v>
      </c>
      <c r="C105" s="3">
        <v>218.69</v>
      </c>
      <c r="D105" s="1">
        <v>115.248809523809</v>
      </c>
      <c r="E105" s="1">
        <v>4.5697249</v>
      </c>
      <c r="F105" s="1">
        <v>4.7252441</v>
      </c>
      <c r="G105" s="1">
        <v>2.0</v>
      </c>
      <c r="H105" s="1">
        <v>149.56466</v>
      </c>
      <c r="I105" s="1">
        <v>18.464281</v>
      </c>
      <c r="J105" s="1">
        <v>19.24047</v>
      </c>
      <c r="K105" s="1">
        <v>19.130947</v>
      </c>
      <c r="L105" s="1">
        <v>15.695237</v>
      </c>
      <c r="M105" s="1">
        <v>16495.0</v>
      </c>
      <c r="N105" s="1">
        <v>55.01761887079959</v>
      </c>
      <c r="O105" s="1">
        <v>60.976377</v>
      </c>
      <c r="P105" s="1">
        <v>57.676433</v>
      </c>
      <c r="Q105" s="1">
        <v>34.451691</v>
      </c>
      <c r="R105" s="1">
        <v>66.246013</v>
      </c>
      <c r="S105" s="1">
        <v>54.359147</v>
      </c>
      <c r="T105" s="1">
        <v>22.93813</v>
      </c>
      <c r="U105" s="1">
        <v>55.914692</v>
      </c>
      <c r="V105" s="1">
        <v>52.659084</v>
      </c>
      <c r="W105" s="1">
        <v>71.884598</v>
      </c>
      <c r="X105" s="1">
        <v>84.500402</v>
      </c>
      <c r="Y105" s="4"/>
    </row>
    <row r="106" ht="14.25" customHeight="1">
      <c r="A106" s="1" t="s">
        <v>129</v>
      </c>
      <c r="B106" s="2">
        <v>39706.0</v>
      </c>
      <c r="C106" s="3">
        <v>218.877</v>
      </c>
      <c r="D106" s="1">
        <v>101.599545454545</v>
      </c>
      <c r="E106" s="1">
        <v>4.5950202</v>
      </c>
      <c r="F106" s="1">
        <v>4.7544257</v>
      </c>
      <c r="G106" s="1">
        <v>1.81</v>
      </c>
      <c r="H106" s="1">
        <v>109.89797</v>
      </c>
      <c r="I106" s="1">
        <v>17.284995</v>
      </c>
      <c r="J106" s="1">
        <v>18.19454</v>
      </c>
      <c r="K106" s="1">
        <v>18.254993</v>
      </c>
      <c r="L106" s="1">
        <v>14.368182</v>
      </c>
      <c r="M106" s="1">
        <v>16508.0</v>
      </c>
      <c r="N106" s="1">
        <v>55.11665058476698</v>
      </c>
      <c r="O106" s="1">
        <v>61.305649</v>
      </c>
      <c r="P106" s="1">
        <v>58.103238</v>
      </c>
      <c r="Q106" s="1">
        <v>34.934014</v>
      </c>
      <c r="R106" s="1">
        <v>66.981343</v>
      </c>
      <c r="S106" s="1">
        <v>54.359147</v>
      </c>
      <c r="T106" s="1">
        <v>23.123929</v>
      </c>
      <c r="U106" s="1">
        <v>55.562429</v>
      </c>
      <c r="V106" s="1">
        <v>52.848657</v>
      </c>
      <c r="W106" s="1">
        <v>72.926925</v>
      </c>
      <c r="X106" s="1">
        <v>84.0948</v>
      </c>
      <c r="Y106" s="4"/>
    </row>
    <row r="107" ht="14.25" customHeight="1">
      <c r="A107" s="1" t="s">
        <v>130</v>
      </c>
      <c r="B107" s="2">
        <v>39736.0</v>
      </c>
      <c r="C107" s="3">
        <v>216.995</v>
      </c>
      <c r="D107" s="1">
        <v>74.1236956521739</v>
      </c>
      <c r="E107" s="1">
        <v>4.6357453</v>
      </c>
      <c r="F107" s="1">
        <v>4.7988791</v>
      </c>
      <c r="G107" s="1">
        <v>0.97</v>
      </c>
      <c r="H107" s="1">
        <v>9.7059024</v>
      </c>
      <c r="I107" s="1">
        <v>15.37478</v>
      </c>
      <c r="J107" s="1">
        <v>16.922602</v>
      </c>
      <c r="K107" s="1">
        <v>17.384341</v>
      </c>
      <c r="L107" s="1">
        <v>12.085217</v>
      </c>
      <c r="M107" s="1">
        <v>16517.0</v>
      </c>
      <c r="N107" s="1">
        <v>55.01192894865594</v>
      </c>
      <c r="O107" s="1">
        <v>61.716397</v>
      </c>
      <c r="P107" s="1">
        <v>58.509961</v>
      </c>
      <c r="Q107" s="1">
        <v>35.175059</v>
      </c>
      <c r="R107" s="1">
        <v>67.470307</v>
      </c>
      <c r="S107" s="1">
        <v>54.130838</v>
      </c>
      <c r="T107" s="1">
        <v>23.258048</v>
      </c>
      <c r="U107" s="1">
        <v>54.962355</v>
      </c>
      <c r="V107" s="1">
        <v>53.297871</v>
      </c>
      <c r="W107" s="1">
        <v>73.204047</v>
      </c>
      <c r="X107" s="1">
        <v>83.304309</v>
      </c>
      <c r="Y107" s="4"/>
    </row>
    <row r="108" ht="14.25" customHeight="1">
      <c r="A108" s="1" t="s">
        <v>131</v>
      </c>
      <c r="B108" s="2">
        <v>39767.0</v>
      </c>
      <c r="C108" s="3">
        <v>213.153</v>
      </c>
      <c r="D108" s="1">
        <v>54.84075</v>
      </c>
      <c r="E108" s="1">
        <v>4.6611249</v>
      </c>
      <c r="F108" s="1">
        <v>4.8250183</v>
      </c>
      <c r="G108" s="1">
        <v>0.39</v>
      </c>
      <c r="H108" s="1">
        <v>-67.532157</v>
      </c>
      <c r="I108" s="1">
        <v>11.874</v>
      </c>
      <c r="J108" s="1">
        <v>14.146999</v>
      </c>
      <c r="K108" s="1">
        <v>14.647999</v>
      </c>
      <c r="L108" s="1">
        <v>8.6885</v>
      </c>
      <c r="M108" s="1">
        <v>16493.0</v>
      </c>
      <c r="N108" s="1">
        <v>54.59383828864617</v>
      </c>
      <c r="O108" s="1">
        <v>62.271844</v>
      </c>
      <c r="P108" s="1">
        <v>59.013147</v>
      </c>
      <c r="Q108" s="1">
        <v>35.217269</v>
      </c>
      <c r="R108" s="1">
        <v>67.922358</v>
      </c>
      <c r="S108" s="1">
        <v>54.092947</v>
      </c>
      <c r="T108" s="1">
        <v>23.323171</v>
      </c>
      <c r="U108" s="1">
        <v>52.291184</v>
      </c>
      <c r="V108" s="1">
        <v>53.505732</v>
      </c>
      <c r="W108" s="1">
        <v>73.409019</v>
      </c>
      <c r="X108" s="1">
        <v>79.638919</v>
      </c>
      <c r="Y108" s="4"/>
    </row>
    <row r="109" ht="14.25" customHeight="1">
      <c r="A109" s="1" t="s">
        <v>132</v>
      </c>
      <c r="B109" s="2">
        <v>39797.0</v>
      </c>
      <c r="C109" s="3">
        <v>211.398</v>
      </c>
      <c r="D109" s="1">
        <v>40.5780434782609</v>
      </c>
      <c r="E109" s="1">
        <v>4.628705</v>
      </c>
      <c r="F109" s="1">
        <v>4.7863713</v>
      </c>
      <c r="G109" s="1">
        <v>0.16</v>
      </c>
      <c r="H109" s="1">
        <v>-76.279423</v>
      </c>
      <c r="I109" s="1">
        <v>9.9143478</v>
      </c>
      <c r="J109" s="1">
        <v>11.579565</v>
      </c>
      <c r="K109" s="1">
        <v>11.934783</v>
      </c>
      <c r="L109" s="1">
        <v>7.2947826</v>
      </c>
      <c r="M109" s="1">
        <v>16600.0</v>
      </c>
      <c r="N109" s="1">
        <v>54.22260018828336</v>
      </c>
      <c r="O109" s="1">
        <v>62.695293</v>
      </c>
      <c r="P109" s="1">
        <v>59.609179</v>
      </c>
      <c r="Q109" s="1">
        <v>35.277138</v>
      </c>
      <c r="R109" s="1">
        <v>68.329892</v>
      </c>
      <c r="S109" s="1">
        <v>54.022626</v>
      </c>
      <c r="T109" s="1">
        <v>23.404802</v>
      </c>
      <c r="U109" s="1">
        <v>51.057112</v>
      </c>
      <c r="V109" s="1">
        <v>53.907025</v>
      </c>
      <c r="W109" s="1">
        <v>73.893518</v>
      </c>
      <c r="X109" s="1">
        <v>74.247365</v>
      </c>
      <c r="Y109" s="4"/>
    </row>
    <row r="110" ht="14.25" customHeight="1">
      <c r="A110" s="1" t="s">
        <v>133</v>
      </c>
      <c r="B110" s="2">
        <v>39828.0</v>
      </c>
      <c r="C110" s="3">
        <v>211.933</v>
      </c>
      <c r="D110" s="1">
        <v>42.4027272727273</v>
      </c>
      <c r="E110" s="1">
        <v>4.6111892</v>
      </c>
      <c r="F110" s="1">
        <v>4.7718654</v>
      </c>
      <c r="G110" s="1">
        <v>0.15</v>
      </c>
      <c r="H110" s="1">
        <v>-56.643513</v>
      </c>
      <c r="I110" s="1">
        <v>7.5118182</v>
      </c>
      <c r="J110" s="1">
        <v>8.5086364</v>
      </c>
      <c r="K110" s="1">
        <v>8.8177273</v>
      </c>
      <c r="L110" s="1">
        <v>5.5690909</v>
      </c>
      <c r="M110" s="1">
        <v>16973.0</v>
      </c>
      <c r="N110" s="1">
        <v>54.39611250888591</v>
      </c>
      <c r="O110" s="1">
        <v>63.880234</v>
      </c>
      <c r="P110" s="1">
        <v>60.479473</v>
      </c>
      <c r="Q110" s="1">
        <v>35.301832</v>
      </c>
      <c r="R110" s="1">
        <v>68.746705</v>
      </c>
      <c r="S110" s="1">
        <v>54.233314</v>
      </c>
      <c r="T110" s="1">
        <v>23.514804</v>
      </c>
      <c r="U110" s="1">
        <v>51.450252</v>
      </c>
      <c r="V110" s="1">
        <v>54.947431</v>
      </c>
      <c r="W110" s="1">
        <v>75.12015</v>
      </c>
      <c r="X110" s="1">
        <v>71.641282</v>
      </c>
      <c r="Y110" s="4"/>
    </row>
    <row r="111" ht="14.25" customHeight="1">
      <c r="A111" s="1" t="s">
        <v>134</v>
      </c>
      <c r="B111" s="2">
        <v>39859.0</v>
      </c>
      <c r="C111" s="3">
        <v>212.705</v>
      </c>
      <c r="D111" s="1">
        <v>40.9945</v>
      </c>
      <c r="E111" s="1">
        <v>4.6381381</v>
      </c>
      <c r="F111" s="1">
        <v>4.7967953</v>
      </c>
      <c r="G111" s="1">
        <v>0.22</v>
      </c>
      <c r="H111" s="1">
        <v>12.803322</v>
      </c>
      <c r="I111" s="1">
        <v>7.5185</v>
      </c>
      <c r="J111" s="1">
        <v>8.1445</v>
      </c>
      <c r="K111" s="1">
        <v>8.323</v>
      </c>
      <c r="L111" s="1">
        <v>6.1165</v>
      </c>
      <c r="M111" s="1">
        <v>16976.0</v>
      </c>
      <c r="N111" s="1">
        <v>55.03254702523983</v>
      </c>
      <c r="O111" s="1">
        <v>64.391276</v>
      </c>
      <c r="P111" s="1">
        <v>60.745583</v>
      </c>
      <c r="Q111" s="1">
        <v>35.315953</v>
      </c>
      <c r="R111" s="1">
        <v>69.227932</v>
      </c>
      <c r="S111" s="1">
        <v>55.139011</v>
      </c>
      <c r="T111" s="1">
        <v>23.599458</v>
      </c>
      <c r="U111" s="1">
        <v>52.268311</v>
      </c>
      <c r="V111" s="1">
        <v>56.051874</v>
      </c>
      <c r="W111" s="1">
        <v>75.067566</v>
      </c>
      <c r="X111" s="1">
        <v>71.605461</v>
      </c>
      <c r="Y111" s="4"/>
    </row>
    <row r="112" ht="14.25" customHeight="1">
      <c r="A112" s="1" t="s">
        <v>135</v>
      </c>
      <c r="B112" s="2">
        <v>39887.0</v>
      </c>
      <c r="C112" s="3">
        <v>212.495</v>
      </c>
      <c r="D112" s="1">
        <v>47.2813636363636</v>
      </c>
      <c r="E112" s="1">
        <v>4.646818</v>
      </c>
      <c r="F112" s="1">
        <v>4.8048351</v>
      </c>
      <c r="G112" s="1">
        <v>0.18</v>
      </c>
      <c r="H112" s="1">
        <v>20.595602</v>
      </c>
      <c r="I112" s="1">
        <v>7.5990909</v>
      </c>
      <c r="J112" s="1">
        <v>8.1622727</v>
      </c>
      <c r="K112" s="1">
        <v>8.4363636</v>
      </c>
      <c r="L112" s="1">
        <v>6.2395455</v>
      </c>
      <c r="M112" s="1">
        <v>16973.0</v>
      </c>
      <c r="N112" s="1">
        <v>54.93899169529694</v>
      </c>
      <c r="O112" s="1">
        <v>64.616645</v>
      </c>
      <c r="P112" s="1">
        <v>60.861</v>
      </c>
      <c r="Q112" s="1">
        <v>35.347737</v>
      </c>
      <c r="R112" s="1">
        <v>69.463307</v>
      </c>
      <c r="S112" s="1">
        <v>54.885371</v>
      </c>
      <c r="T112" s="1">
        <v>23.667896</v>
      </c>
      <c r="U112" s="1">
        <v>52.425116</v>
      </c>
      <c r="V112" s="1">
        <v>56.197609</v>
      </c>
      <c r="W112" s="1">
        <v>74.977485</v>
      </c>
      <c r="X112" s="1">
        <v>71.211631</v>
      </c>
      <c r="Y112" s="4"/>
    </row>
    <row r="113" ht="14.25" customHeight="1">
      <c r="A113" s="1" t="s">
        <v>136</v>
      </c>
      <c r="B113" s="2">
        <v>39918.0</v>
      </c>
      <c r="C113" s="3">
        <v>212.709</v>
      </c>
      <c r="D113" s="1">
        <v>50.2125</v>
      </c>
      <c r="E113" s="1">
        <v>4.6310893</v>
      </c>
      <c r="F113" s="1">
        <v>4.7916842</v>
      </c>
      <c r="G113" s="1">
        <v>0.15</v>
      </c>
      <c r="H113" s="1">
        <v>4.0888686</v>
      </c>
      <c r="I113" s="1">
        <v>7.47</v>
      </c>
      <c r="J113" s="1">
        <v>8.0936364</v>
      </c>
      <c r="K113" s="1">
        <v>8.3654545</v>
      </c>
      <c r="L113" s="1">
        <v>6.2663636</v>
      </c>
      <c r="M113" s="1">
        <v>16938.0</v>
      </c>
      <c r="N113" s="1">
        <v>55.13127816623048</v>
      </c>
      <c r="O113" s="1">
        <v>64.90742</v>
      </c>
      <c r="P113" s="1">
        <v>60.982722</v>
      </c>
      <c r="Q113" s="1">
        <v>35.383085</v>
      </c>
      <c r="R113" s="1">
        <v>69.657804</v>
      </c>
      <c r="S113" s="1">
        <v>55.121378</v>
      </c>
      <c r="T113" s="1">
        <v>23.724699</v>
      </c>
      <c r="U113" s="1">
        <v>52.661029</v>
      </c>
      <c r="V113" s="1">
        <v>56.41116</v>
      </c>
      <c r="W113" s="1">
        <v>74.497629</v>
      </c>
      <c r="X113" s="1">
        <v>71.553447</v>
      </c>
      <c r="Y113" s="4"/>
    </row>
    <row r="114" ht="14.25" customHeight="1">
      <c r="A114" s="1" t="s">
        <v>137</v>
      </c>
      <c r="B114" s="2">
        <v>39948.0</v>
      </c>
      <c r="C114" s="3">
        <v>213.022</v>
      </c>
      <c r="D114" s="1">
        <v>58.3792857142857</v>
      </c>
      <c r="E114" s="1">
        <v>4.6000816</v>
      </c>
      <c r="F114" s="1">
        <v>4.7633527</v>
      </c>
      <c r="G114" s="1">
        <v>0.18</v>
      </c>
      <c r="H114" s="1">
        <v>46.701512</v>
      </c>
      <c r="I114" s="1">
        <v>7.3147619</v>
      </c>
      <c r="J114" s="1">
        <v>7.9919048</v>
      </c>
      <c r="K114" s="1">
        <v>8.2571429</v>
      </c>
      <c r="L114" s="1">
        <v>6.0442857</v>
      </c>
      <c r="M114" s="1">
        <v>16938.0</v>
      </c>
      <c r="N114" s="1">
        <v>55.37385579016192</v>
      </c>
      <c r="O114" s="1">
        <v>65.108633</v>
      </c>
      <c r="P114" s="1">
        <v>61.141277</v>
      </c>
      <c r="Q114" s="1">
        <v>35.397238</v>
      </c>
      <c r="R114" s="1">
        <v>70.013059</v>
      </c>
      <c r="S114" s="1">
        <v>55.220597</v>
      </c>
      <c r="T114" s="1">
        <v>23.767403</v>
      </c>
      <c r="U114" s="1">
        <v>53.171841</v>
      </c>
      <c r="V114" s="1">
        <v>57.223481</v>
      </c>
      <c r="W114" s="1">
        <v>74.519979</v>
      </c>
      <c r="X114" s="1">
        <v>72.841409</v>
      </c>
      <c r="Y114" s="4"/>
    </row>
    <row r="115" ht="14.25" customHeight="1">
      <c r="A115" s="1" t="s">
        <v>138</v>
      </c>
      <c r="B115" s="2">
        <v>39979.0</v>
      </c>
      <c r="C115" s="3">
        <v>214.79</v>
      </c>
      <c r="D115" s="1">
        <v>69.1261363636363</v>
      </c>
      <c r="E115" s="1">
        <v>4.5867364</v>
      </c>
      <c r="F115" s="1">
        <v>4.7538953</v>
      </c>
      <c r="G115" s="1">
        <v>0.21</v>
      </c>
      <c r="H115" s="1">
        <v>86.92689</v>
      </c>
      <c r="I115" s="1">
        <v>7.105</v>
      </c>
      <c r="J115" s="1">
        <v>7.97</v>
      </c>
      <c r="K115" s="1">
        <v>8.2804545</v>
      </c>
      <c r="L115" s="1">
        <v>5.6745455</v>
      </c>
      <c r="M115" s="1">
        <v>16949.0</v>
      </c>
      <c r="N115" s="1">
        <v>55.67841199700779</v>
      </c>
      <c r="O115" s="1">
        <v>65.525328</v>
      </c>
      <c r="P115" s="1">
        <v>61.428641</v>
      </c>
      <c r="Q115" s="1">
        <v>35.422016</v>
      </c>
      <c r="R115" s="1">
        <v>70.475145</v>
      </c>
      <c r="S115" s="1">
        <v>55.375214</v>
      </c>
      <c r="T115" s="1">
        <v>23.831575</v>
      </c>
      <c r="U115" s="1">
        <v>53.942833</v>
      </c>
      <c r="V115" s="1">
        <v>58.00172</v>
      </c>
      <c r="W115" s="1">
        <v>74.743539</v>
      </c>
      <c r="X115" s="1">
        <v>73.824768</v>
      </c>
      <c r="Y115" s="4"/>
    </row>
    <row r="116" ht="14.25" customHeight="1">
      <c r="A116" s="1" t="s">
        <v>139</v>
      </c>
      <c r="B116" s="2">
        <v>40009.0</v>
      </c>
      <c r="C116" s="3">
        <v>214.726</v>
      </c>
      <c r="D116" s="1">
        <v>64.5565217391304</v>
      </c>
      <c r="E116" s="1">
        <v>4.5806884</v>
      </c>
      <c r="F116" s="1">
        <v>4.755277</v>
      </c>
      <c r="G116" s="1">
        <v>0.16</v>
      </c>
      <c r="H116" s="1">
        <v>74.271527</v>
      </c>
      <c r="I116" s="1">
        <v>7.2256522</v>
      </c>
      <c r="J116" s="1">
        <v>8.0730435</v>
      </c>
      <c r="K116" s="1">
        <v>8.3704348</v>
      </c>
      <c r="L116" s="1">
        <v>5.896087</v>
      </c>
      <c r="M116" s="1">
        <v>16961.0</v>
      </c>
      <c r="N116" s="1">
        <v>55.96793973939219</v>
      </c>
      <c r="O116" s="1">
        <v>65.833298</v>
      </c>
      <c r="P116" s="1">
        <v>61.606784</v>
      </c>
      <c r="Q116" s="1">
        <v>35.496403</v>
      </c>
      <c r="R116" s="1">
        <v>70.735903</v>
      </c>
      <c r="S116" s="1">
        <v>55.347527</v>
      </c>
      <c r="T116" s="1">
        <v>23.917369</v>
      </c>
      <c r="U116" s="1">
        <v>54.962352</v>
      </c>
      <c r="V116" s="1">
        <v>58.262728</v>
      </c>
      <c r="W116" s="1">
        <v>75.079885</v>
      </c>
      <c r="X116" s="1">
        <v>76.076424</v>
      </c>
      <c r="Y116" s="4"/>
    </row>
    <row r="117" ht="14.25" customHeight="1">
      <c r="A117" s="1" t="s">
        <v>140</v>
      </c>
      <c r="B117" s="2">
        <v>40040.0</v>
      </c>
      <c r="C117" s="3">
        <v>215.445</v>
      </c>
      <c r="D117" s="1">
        <v>71.8280952380952</v>
      </c>
      <c r="E117" s="1">
        <v>4.5720829</v>
      </c>
      <c r="F117" s="1">
        <v>4.7498182</v>
      </c>
      <c r="G117" s="1">
        <v>0.16</v>
      </c>
      <c r="H117" s="1">
        <v>51.616487</v>
      </c>
      <c r="I117" s="1">
        <v>8.0766667</v>
      </c>
      <c r="J117" s="1">
        <v>8.4595238</v>
      </c>
      <c r="K117" s="1">
        <v>8.6857143</v>
      </c>
      <c r="L117" s="1">
        <v>6.9385714</v>
      </c>
      <c r="M117" s="1">
        <v>16968.0</v>
      </c>
      <c r="N117" s="1">
        <v>56.10226279476675</v>
      </c>
      <c r="O117" s="1">
        <v>65.905714</v>
      </c>
      <c r="P117" s="1">
        <v>61.927139</v>
      </c>
      <c r="Q117" s="1">
        <v>35.549647</v>
      </c>
      <c r="R117" s="1">
        <v>70.94811</v>
      </c>
      <c r="S117" s="1">
        <v>55.303249</v>
      </c>
      <c r="T117" s="1">
        <v>23.955637</v>
      </c>
      <c r="U117" s="1">
        <v>55.473502</v>
      </c>
      <c r="V117" s="1">
        <v>58.495779</v>
      </c>
      <c r="W117" s="1">
        <v>75.16998</v>
      </c>
      <c r="X117" s="1">
        <v>77.073025</v>
      </c>
      <c r="Y117" s="4"/>
    </row>
    <row r="118" ht="14.25" customHeight="1">
      <c r="A118" s="1" t="s">
        <v>141</v>
      </c>
      <c r="B118" s="2">
        <v>40071.0</v>
      </c>
      <c r="C118" s="3">
        <v>215.861</v>
      </c>
      <c r="D118" s="1">
        <v>68.4554545454545</v>
      </c>
      <c r="E118" s="1">
        <v>4.5553181</v>
      </c>
      <c r="F118" s="1">
        <v>4.7403293</v>
      </c>
      <c r="G118" s="1">
        <v>0.15</v>
      </c>
      <c r="H118" s="1">
        <v>38.304366</v>
      </c>
      <c r="I118" s="1">
        <v>8.3027273</v>
      </c>
      <c r="J118" s="1">
        <v>8.6790909</v>
      </c>
      <c r="K118" s="1">
        <v>8.8581818</v>
      </c>
      <c r="L118" s="1">
        <v>6.8931818</v>
      </c>
      <c r="M118" s="1">
        <v>16984.0</v>
      </c>
      <c r="N118" s="1">
        <v>56.45009682409434</v>
      </c>
      <c r="O118" s="1">
        <v>66.400007</v>
      </c>
      <c r="P118" s="1">
        <v>62.342051</v>
      </c>
      <c r="Q118" s="1">
        <v>37.088947</v>
      </c>
      <c r="R118" s="1">
        <v>71.210619</v>
      </c>
      <c r="S118" s="1">
        <v>55.3309</v>
      </c>
      <c r="T118" s="1">
        <v>24.001153</v>
      </c>
      <c r="U118" s="1">
        <v>55.956122</v>
      </c>
      <c r="V118" s="1">
        <v>58.776559</v>
      </c>
      <c r="W118" s="1">
        <v>75.357905</v>
      </c>
      <c r="X118" s="1">
        <v>78.899656</v>
      </c>
      <c r="Y118" s="4"/>
    </row>
    <row r="119" ht="14.25" customHeight="1">
      <c r="A119" s="1" t="s">
        <v>142</v>
      </c>
      <c r="B119" s="2">
        <v>40101.0</v>
      </c>
      <c r="C119" s="3">
        <v>216.509</v>
      </c>
      <c r="D119" s="1">
        <v>74.3961363636364</v>
      </c>
      <c r="E119" s="1">
        <v>4.5390564</v>
      </c>
      <c r="F119" s="1">
        <v>4.7323938</v>
      </c>
      <c r="G119" s="1">
        <v>0.12</v>
      </c>
      <c r="H119" s="1">
        <v>53.699854</v>
      </c>
      <c r="I119" s="1">
        <v>8.3627273</v>
      </c>
      <c r="J119" s="1">
        <v>8.7995455</v>
      </c>
      <c r="K119" s="1">
        <v>8.9922727</v>
      </c>
      <c r="L119" s="1">
        <v>6.7277273</v>
      </c>
      <c r="M119" s="1">
        <v>17002.0</v>
      </c>
      <c r="N119" s="1">
        <v>56.65896218234347</v>
      </c>
      <c r="O119" s="1">
        <v>66.492967</v>
      </c>
      <c r="P119" s="1">
        <v>62.510374</v>
      </c>
      <c r="Q119" s="1">
        <v>37.359696</v>
      </c>
      <c r="R119" s="1">
        <v>71.367282</v>
      </c>
      <c r="S119" s="1">
        <v>55.507959</v>
      </c>
      <c r="T119" s="1">
        <v>24.039554</v>
      </c>
      <c r="U119" s="1">
        <v>56.26388</v>
      </c>
      <c r="V119" s="1">
        <v>59.058686</v>
      </c>
      <c r="W119" s="1">
        <v>75.372977</v>
      </c>
      <c r="X119" s="1">
        <v>79.507183</v>
      </c>
      <c r="Y119" s="4"/>
    </row>
    <row r="120" ht="14.25" customHeight="1">
      <c r="A120" s="1" t="s">
        <v>143</v>
      </c>
      <c r="B120" s="2">
        <v>40132.0</v>
      </c>
      <c r="C120" s="3">
        <v>217.234</v>
      </c>
      <c r="D120" s="1">
        <v>77.4545238095238</v>
      </c>
      <c r="E120" s="1">
        <v>4.5221033</v>
      </c>
      <c r="F120" s="1">
        <v>4.7217491</v>
      </c>
      <c r="G120" s="1">
        <v>0.12</v>
      </c>
      <c r="H120" s="1">
        <v>89.65925</v>
      </c>
      <c r="I120" s="1">
        <v>8.842381</v>
      </c>
      <c r="J120" s="1">
        <v>9.2490476</v>
      </c>
      <c r="K120" s="1">
        <v>9.4495238</v>
      </c>
      <c r="L120" s="1">
        <v>7.3352381</v>
      </c>
      <c r="M120" s="1">
        <v>17177.0</v>
      </c>
      <c r="N120" s="1">
        <v>56.97058647434632</v>
      </c>
      <c r="O120" s="1">
        <v>66.785536</v>
      </c>
      <c r="P120" s="1">
        <v>62.710408</v>
      </c>
      <c r="Q120" s="1">
        <v>37.382112</v>
      </c>
      <c r="R120" s="1">
        <v>71.52429</v>
      </c>
      <c r="S120" s="1">
        <v>55.990878</v>
      </c>
      <c r="T120" s="1">
        <v>24.06119</v>
      </c>
      <c r="U120" s="1">
        <v>56.685859</v>
      </c>
      <c r="V120" s="1">
        <v>59.377603</v>
      </c>
      <c r="W120" s="1">
        <v>75.395589</v>
      </c>
      <c r="X120" s="1">
        <v>79.841113</v>
      </c>
      <c r="Y120" s="4"/>
    </row>
    <row r="121" ht="14.25" customHeight="1">
      <c r="A121" s="1" t="s">
        <v>144</v>
      </c>
      <c r="B121" s="2">
        <v>40162.0</v>
      </c>
      <c r="C121" s="3">
        <v>217.347</v>
      </c>
      <c r="D121" s="1">
        <v>74.7076086956521</v>
      </c>
      <c r="E121" s="1">
        <v>4.4871383</v>
      </c>
      <c r="F121" s="1">
        <v>4.6952875</v>
      </c>
      <c r="G121" s="1">
        <v>0.12</v>
      </c>
      <c r="H121" s="1">
        <v>79.94114</v>
      </c>
      <c r="I121" s="1">
        <v>10.702174</v>
      </c>
      <c r="J121" s="1">
        <v>11.01</v>
      </c>
      <c r="K121" s="1">
        <v>11.208261</v>
      </c>
      <c r="L121" s="1">
        <v>9.526087</v>
      </c>
      <c r="M121" s="1">
        <v>17942.0</v>
      </c>
      <c r="N121" s="1">
        <v>57.75678056769235</v>
      </c>
      <c r="O121" s="1">
        <v>67.433356</v>
      </c>
      <c r="P121" s="1">
        <v>63.218362</v>
      </c>
      <c r="Q121" s="1">
        <v>37.412018</v>
      </c>
      <c r="R121" s="1">
        <v>71.703101</v>
      </c>
      <c r="S121" s="1">
        <v>57.144291</v>
      </c>
      <c r="T121" s="1">
        <v>24.167059</v>
      </c>
      <c r="U121" s="1">
        <v>57.479462</v>
      </c>
      <c r="V121" s="1">
        <v>59.971379</v>
      </c>
      <c r="W121" s="1">
        <v>75.448366</v>
      </c>
      <c r="X121" s="1">
        <v>81.813189</v>
      </c>
      <c r="Y121" s="4"/>
    </row>
    <row r="122" ht="14.25" customHeight="1">
      <c r="A122" s="1" t="s">
        <v>145</v>
      </c>
      <c r="B122" s="2">
        <v>40193.0</v>
      </c>
      <c r="C122" s="3">
        <v>217.488</v>
      </c>
      <c r="D122" s="1">
        <v>77.5104761904761</v>
      </c>
      <c r="E122" s="1">
        <v>4.493046</v>
      </c>
      <c r="F122" s="1">
        <v>4.7106564</v>
      </c>
      <c r="G122" s="1">
        <v>0.11</v>
      </c>
      <c r="H122" s="1">
        <v>68.038546</v>
      </c>
      <c r="I122" s="1">
        <v>11.122381</v>
      </c>
      <c r="J122" s="1">
        <v>11.771905</v>
      </c>
      <c r="K122" s="1">
        <v>11.9</v>
      </c>
      <c r="L122" s="1">
        <v>9.0142857</v>
      </c>
      <c r="M122" s="1">
        <v>17941.0</v>
      </c>
      <c r="N122" s="1">
        <v>58.54227278341292</v>
      </c>
      <c r="O122" s="1">
        <v>68.202096</v>
      </c>
      <c r="P122" s="1">
        <v>64.00227</v>
      </c>
      <c r="Q122" s="1">
        <v>37.51303</v>
      </c>
      <c r="R122" s="1">
        <v>72.118979</v>
      </c>
      <c r="S122" s="1">
        <v>58.350035</v>
      </c>
      <c r="T122" s="1">
        <v>24.23231</v>
      </c>
      <c r="U122" s="1">
        <v>58.433621</v>
      </c>
      <c r="V122" s="1">
        <v>61.314738</v>
      </c>
      <c r="W122" s="1">
        <v>75.697345</v>
      </c>
      <c r="X122" s="1">
        <v>82.246798</v>
      </c>
      <c r="Y122" s="4"/>
    </row>
    <row r="123" ht="14.25" customHeight="1">
      <c r="A123" s="1" t="s">
        <v>146</v>
      </c>
      <c r="B123" s="2">
        <v>40224.0</v>
      </c>
      <c r="C123" s="3">
        <v>217.281</v>
      </c>
      <c r="D123" s="1">
        <v>75.1055</v>
      </c>
      <c r="E123" s="1">
        <v>4.4926209</v>
      </c>
      <c r="F123" s="1">
        <v>4.7156714</v>
      </c>
      <c r="G123" s="1">
        <v>0.13</v>
      </c>
      <c r="H123" s="1">
        <v>51.495524</v>
      </c>
      <c r="I123" s="1">
        <v>11.576</v>
      </c>
      <c r="J123" s="1">
        <v>11.9065</v>
      </c>
      <c r="K123" s="1">
        <v>11.941</v>
      </c>
      <c r="L123" s="1">
        <v>9.747</v>
      </c>
      <c r="M123" s="1">
        <v>18243.0</v>
      </c>
      <c r="N123" s="1">
        <v>59.68970132996786</v>
      </c>
      <c r="O123" s="1">
        <v>69.750284</v>
      </c>
      <c r="P123" s="1">
        <v>64.891901</v>
      </c>
      <c r="Q123" s="1">
        <v>37.558046</v>
      </c>
      <c r="R123" s="1">
        <v>72.789685</v>
      </c>
      <c r="S123" s="1">
        <v>60.153051</v>
      </c>
      <c r="T123" s="1">
        <v>24.334086</v>
      </c>
      <c r="U123" s="1">
        <v>59.456209</v>
      </c>
      <c r="V123" s="1">
        <v>62.859869</v>
      </c>
      <c r="W123" s="1">
        <v>76.620853</v>
      </c>
      <c r="X123" s="1">
        <v>83.439377</v>
      </c>
      <c r="Y123" s="4"/>
    </row>
    <row r="124" ht="14.25" customHeight="1">
      <c r="A124" s="1" t="s">
        <v>147</v>
      </c>
      <c r="B124" s="2">
        <v>40252.0</v>
      </c>
      <c r="C124" s="3">
        <v>217.353</v>
      </c>
      <c r="D124" s="1">
        <v>80.380652173913</v>
      </c>
      <c r="E124" s="1">
        <v>4.4749725</v>
      </c>
      <c r="F124" s="1">
        <v>4.7065049</v>
      </c>
      <c r="G124" s="1">
        <v>0.16</v>
      </c>
      <c r="H124" s="1">
        <v>69.653737</v>
      </c>
      <c r="I124" s="1">
        <v>10.731304</v>
      </c>
      <c r="J124" s="1">
        <v>11.752609</v>
      </c>
      <c r="K124" s="1">
        <v>11.884783</v>
      </c>
      <c r="L124" s="1">
        <v>7.4113043</v>
      </c>
      <c r="M124" s="1">
        <v>18544.0</v>
      </c>
      <c r="N124" s="1">
        <v>60.13737408994261</v>
      </c>
      <c r="O124" s="1">
        <v>69.861884</v>
      </c>
      <c r="P124" s="1">
        <v>64.989239</v>
      </c>
      <c r="Q124" s="1">
        <v>37.62565</v>
      </c>
      <c r="R124" s="1">
        <v>73.073565</v>
      </c>
      <c r="S124" s="1">
        <v>60.772628</v>
      </c>
      <c r="T124" s="1">
        <v>24.416822</v>
      </c>
      <c r="U124" s="1">
        <v>60.276705</v>
      </c>
      <c r="V124" s="1">
        <v>63.211885</v>
      </c>
      <c r="W124" s="1">
        <v>77.003957</v>
      </c>
      <c r="X124" s="1">
        <v>84.207019</v>
      </c>
      <c r="Y124" s="4"/>
    </row>
    <row r="125" ht="14.25" customHeight="1">
      <c r="A125" s="1" t="s">
        <v>148</v>
      </c>
      <c r="B125" s="2">
        <v>40283.0</v>
      </c>
      <c r="C125" s="3">
        <v>217.403</v>
      </c>
      <c r="D125" s="1">
        <v>84.8270454545454</v>
      </c>
      <c r="E125" s="1">
        <v>4.4777576</v>
      </c>
      <c r="F125" s="1">
        <v>4.7092431</v>
      </c>
      <c r="G125" s="1">
        <v>0.2</v>
      </c>
      <c r="H125" s="1">
        <v>64.546308</v>
      </c>
      <c r="I125" s="1">
        <v>9.84</v>
      </c>
      <c r="J125" s="1">
        <v>11.484545</v>
      </c>
      <c r="K125" s="1">
        <v>11.879091</v>
      </c>
      <c r="L125" s="1">
        <v>6.9745455</v>
      </c>
      <c r="M125" s="1">
        <v>18544.0</v>
      </c>
      <c r="N125" s="1">
        <v>60.22156641366856</v>
      </c>
      <c r="O125" s="1">
        <v>70.120373</v>
      </c>
      <c r="P125" s="1">
        <v>65.216701</v>
      </c>
      <c r="Q125" s="1">
        <v>37.670801</v>
      </c>
      <c r="R125" s="1">
        <v>73.402396</v>
      </c>
      <c r="S125" s="1">
        <v>60.38976</v>
      </c>
      <c r="T125" s="1">
        <v>24.494956</v>
      </c>
      <c r="U125" s="1">
        <v>61.78965</v>
      </c>
      <c r="V125" s="1">
        <v>63.420484</v>
      </c>
      <c r="W125" s="1">
        <v>77.196467</v>
      </c>
      <c r="X125" s="1">
        <v>84.308068</v>
      </c>
      <c r="Y125" s="4"/>
    </row>
    <row r="126" ht="14.25" customHeight="1">
      <c r="A126" s="1" t="s">
        <v>149</v>
      </c>
      <c r="B126" s="2">
        <v>40313.0</v>
      </c>
      <c r="C126" s="3">
        <v>217.29</v>
      </c>
      <c r="D126" s="1">
        <v>74.9873809523809</v>
      </c>
      <c r="E126" s="1">
        <v>4.504614</v>
      </c>
      <c r="F126" s="1">
        <v>4.7370993</v>
      </c>
      <c r="G126" s="1">
        <v>0.2</v>
      </c>
      <c r="H126" s="1">
        <v>87.973829</v>
      </c>
      <c r="I126" s="1">
        <v>9.1795238</v>
      </c>
      <c r="J126" s="1">
        <v>10.888571</v>
      </c>
      <c r="K126" s="1">
        <v>11.730952</v>
      </c>
      <c r="L126" s="1">
        <v>6.8428571</v>
      </c>
      <c r="M126" s="1">
        <v>18544.0</v>
      </c>
      <c r="N126" s="1">
        <v>60.38416464298546</v>
      </c>
      <c r="O126" s="1">
        <v>70.344758</v>
      </c>
      <c r="P126" s="1">
        <v>65.425395</v>
      </c>
      <c r="Q126" s="1">
        <v>37.697171</v>
      </c>
      <c r="R126" s="1">
        <v>73.688665</v>
      </c>
      <c r="S126" s="1">
        <v>60.317292</v>
      </c>
      <c r="T126" s="1">
        <v>24.561092</v>
      </c>
      <c r="U126" s="1">
        <v>62.691779</v>
      </c>
      <c r="V126" s="1">
        <v>64.270318</v>
      </c>
      <c r="W126" s="1">
        <v>77.482094</v>
      </c>
      <c r="X126" s="1">
        <v>84.409237</v>
      </c>
      <c r="Y126" s="4"/>
    </row>
    <row r="127" ht="14.25" customHeight="1">
      <c r="A127" s="1" t="s">
        <v>150</v>
      </c>
      <c r="B127" s="2">
        <v>40344.0</v>
      </c>
      <c r="C127" s="3">
        <v>217.199</v>
      </c>
      <c r="D127" s="1">
        <v>75.2977272727272</v>
      </c>
      <c r="E127" s="1">
        <v>4.5164841</v>
      </c>
      <c r="F127" s="1">
        <v>4.7522267</v>
      </c>
      <c r="G127" s="1">
        <v>0.18</v>
      </c>
      <c r="H127" s="1">
        <v>66.437718</v>
      </c>
      <c r="I127" s="1">
        <v>8.5427273</v>
      </c>
      <c r="J127" s="1">
        <v>10.597727</v>
      </c>
      <c r="K127" s="1">
        <v>11.581364</v>
      </c>
      <c r="L127" s="1">
        <v>6.5945455</v>
      </c>
      <c r="M127" s="1">
        <v>18544.0</v>
      </c>
      <c r="N127" s="1">
        <v>60.51700980519997</v>
      </c>
      <c r="O127" s="1">
        <v>70.780896</v>
      </c>
      <c r="P127" s="1">
        <v>65.641299</v>
      </c>
      <c r="Q127" s="1">
        <v>37.731098</v>
      </c>
      <c r="R127" s="1">
        <v>74.042371</v>
      </c>
      <c r="S127" s="1">
        <v>60.540466</v>
      </c>
      <c r="T127" s="1">
        <v>24.61267</v>
      </c>
      <c r="U127" s="1">
        <v>62.698048</v>
      </c>
      <c r="V127" s="1">
        <v>64.565962</v>
      </c>
      <c r="W127" s="1">
        <v>77.76103</v>
      </c>
      <c r="X127" s="1">
        <v>83.809932</v>
      </c>
      <c r="Y127" s="4"/>
    </row>
    <row r="128" ht="14.25" customHeight="1">
      <c r="A128" s="1" t="s">
        <v>151</v>
      </c>
      <c r="B128" s="2">
        <v>40374.0</v>
      </c>
      <c r="C128" s="3">
        <v>217.605</v>
      </c>
      <c r="D128" s="1">
        <v>75.6861363636363</v>
      </c>
      <c r="E128" s="1">
        <v>4.4914846</v>
      </c>
      <c r="F128" s="1">
        <v>4.7290198</v>
      </c>
      <c r="G128" s="1">
        <v>0.18</v>
      </c>
      <c r="H128" s="1">
        <v>18.373705</v>
      </c>
      <c r="I128" s="1">
        <v>8.3172727</v>
      </c>
      <c r="J128" s="1">
        <v>10.443636</v>
      </c>
      <c r="K128" s="1">
        <v>11.552273</v>
      </c>
      <c r="L128" s="1">
        <v>6.6245455</v>
      </c>
      <c r="M128" s="1">
        <v>18544.0</v>
      </c>
      <c r="N128" s="1">
        <v>60.55332001108313</v>
      </c>
      <c r="O128" s="1">
        <v>71.071097</v>
      </c>
      <c r="P128" s="1">
        <v>65.871043</v>
      </c>
      <c r="Q128" s="1">
        <v>37.772602</v>
      </c>
      <c r="R128" s="1">
        <v>74.331136</v>
      </c>
      <c r="S128" s="1">
        <v>60.667601</v>
      </c>
      <c r="T128" s="1">
        <v>24.666818</v>
      </c>
      <c r="U128" s="1">
        <v>62.403367</v>
      </c>
      <c r="V128" s="1">
        <v>64.75966</v>
      </c>
      <c r="W128" s="1">
        <v>77.955432</v>
      </c>
      <c r="X128" s="1">
        <v>83.022118</v>
      </c>
      <c r="Y128" s="4"/>
    </row>
    <row r="129" ht="14.25" customHeight="1">
      <c r="A129" s="1" t="s">
        <v>152</v>
      </c>
      <c r="B129" s="2">
        <v>40405.0</v>
      </c>
      <c r="C129" s="3">
        <v>217.923</v>
      </c>
      <c r="D129" s="1">
        <v>76.755</v>
      </c>
      <c r="E129" s="1">
        <v>4.4675767</v>
      </c>
      <c r="F129" s="1">
        <v>4.7098955</v>
      </c>
      <c r="G129" s="1">
        <v>0.19</v>
      </c>
      <c r="H129" s="1">
        <v>42.553525</v>
      </c>
      <c r="I129" s="1">
        <v>8.275</v>
      </c>
      <c r="J129" s="1">
        <v>10.204545</v>
      </c>
      <c r="K129" s="1">
        <v>11.188182</v>
      </c>
      <c r="L129" s="1">
        <v>6.7618182</v>
      </c>
      <c r="M129" s="1">
        <v>18723.0</v>
      </c>
      <c r="N129" s="1">
        <v>60.6925926471086</v>
      </c>
      <c r="O129" s="1">
        <v>71.298525</v>
      </c>
      <c r="P129" s="1">
        <v>66.206985</v>
      </c>
      <c r="Q129" s="1">
        <v>38.259869</v>
      </c>
      <c r="R129" s="1">
        <v>74.613594</v>
      </c>
      <c r="S129" s="1">
        <v>60.831404</v>
      </c>
      <c r="T129" s="1">
        <v>24.767952</v>
      </c>
      <c r="U129" s="1">
        <v>62.447049</v>
      </c>
      <c r="V129" s="1">
        <v>64.882703</v>
      </c>
      <c r="W129" s="1">
        <v>78.06457</v>
      </c>
      <c r="X129" s="1">
        <v>83.3293</v>
      </c>
      <c r="Y129" s="4"/>
    </row>
    <row r="130" ht="14.25" customHeight="1">
      <c r="A130" s="1" t="s">
        <v>153</v>
      </c>
      <c r="B130" s="2">
        <v>40436.0</v>
      </c>
      <c r="C130" s="3">
        <v>218.275</v>
      </c>
      <c r="D130" s="1">
        <v>76.6059090909091</v>
      </c>
      <c r="E130" s="1">
        <v>4.446016</v>
      </c>
      <c r="F130" s="1">
        <v>4.6981917</v>
      </c>
      <c r="G130" s="1">
        <v>0.19</v>
      </c>
      <c r="H130" s="1">
        <v>53.711928</v>
      </c>
      <c r="I130" s="1">
        <v>8.3922727</v>
      </c>
      <c r="J130" s="1">
        <v>10.230909</v>
      </c>
      <c r="K130" s="1">
        <v>11.081818</v>
      </c>
      <c r="L130" s="1">
        <v>6.9245455</v>
      </c>
      <c r="M130" s="1">
        <v>18932.0</v>
      </c>
      <c r="N130" s="1">
        <v>61.48766561078576</v>
      </c>
      <c r="O130" s="1">
        <v>71.612238</v>
      </c>
      <c r="P130" s="1">
        <v>66.432089</v>
      </c>
      <c r="Q130" s="1">
        <v>42.858705</v>
      </c>
      <c r="R130" s="1">
        <v>74.867281</v>
      </c>
      <c r="S130" s="1">
        <v>61.311972</v>
      </c>
      <c r="T130" s="1">
        <v>24.85464</v>
      </c>
      <c r="U130" s="1">
        <v>63.121478</v>
      </c>
      <c r="V130" s="1">
        <v>65.252534</v>
      </c>
      <c r="W130" s="1">
        <v>78.43928</v>
      </c>
      <c r="X130" s="1">
        <v>84.087597</v>
      </c>
      <c r="Y130" s="4"/>
    </row>
    <row r="131" ht="14.25" customHeight="1">
      <c r="A131" s="1" t="s">
        <v>154</v>
      </c>
      <c r="B131" s="2">
        <v>40466.0</v>
      </c>
      <c r="C131" s="3">
        <v>219.035</v>
      </c>
      <c r="D131" s="1">
        <v>82.6204761904762</v>
      </c>
      <c r="E131" s="1">
        <v>4.4119727</v>
      </c>
      <c r="F131" s="1">
        <v>4.6753396</v>
      </c>
      <c r="G131" s="1">
        <v>0.19</v>
      </c>
      <c r="H131" s="1">
        <v>52.56829</v>
      </c>
      <c r="I131" s="1">
        <v>8.7509524</v>
      </c>
      <c r="J131" s="1">
        <v>10.284762</v>
      </c>
      <c r="K131" s="1">
        <v>11.097143</v>
      </c>
      <c r="L131" s="1">
        <v>7.2009524</v>
      </c>
      <c r="M131" s="1">
        <v>18932.0</v>
      </c>
      <c r="N131" s="1">
        <v>62.13328609969895</v>
      </c>
      <c r="O131" s="1">
        <v>72.256749</v>
      </c>
      <c r="P131" s="1">
        <v>66.697818</v>
      </c>
      <c r="Q131" s="1">
        <v>44.530195</v>
      </c>
      <c r="R131" s="1">
        <v>75.226644</v>
      </c>
      <c r="S131" s="1">
        <v>62.12129</v>
      </c>
      <c r="T131" s="1">
        <v>24.921748</v>
      </c>
      <c r="U131" s="1">
        <v>63.777941</v>
      </c>
      <c r="V131" s="1">
        <v>65.709302</v>
      </c>
      <c r="W131" s="1">
        <v>78.564783</v>
      </c>
      <c r="X131" s="1">
        <v>84.255772</v>
      </c>
      <c r="Y131" s="4"/>
    </row>
    <row r="132" ht="14.25" customHeight="1">
      <c r="A132" s="1" t="s">
        <v>155</v>
      </c>
      <c r="B132" s="2">
        <v>40497.0</v>
      </c>
      <c r="C132" s="3">
        <v>219.59</v>
      </c>
      <c r="D132" s="1">
        <v>84.9747727272727</v>
      </c>
      <c r="E132" s="1">
        <v>4.4177658</v>
      </c>
      <c r="F132" s="1">
        <v>4.6976804</v>
      </c>
      <c r="G132" s="1">
        <v>0.19</v>
      </c>
      <c r="H132" s="1">
        <v>37.614235</v>
      </c>
      <c r="I132" s="1">
        <v>12.27</v>
      </c>
      <c r="J132" s="1">
        <v>12.886818</v>
      </c>
      <c r="K132" s="1">
        <v>13.022273</v>
      </c>
      <c r="L132" s="1">
        <v>9.9904545</v>
      </c>
      <c r="M132" s="1">
        <v>18932.0</v>
      </c>
      <c r="N132" s="1">
        <v>63.28896522115335</v>
      </c>
      <c r="O132" s="1">
        <v>72.935962</v>
      </c>
      <c r="P132" s="1">
        <v>67.298098</v>
      </c>
      <c r="Q132" s="1">
        <v>44.632614</v>
      </c>
      <c r="R132" s="1">
        <v>75.783321</v>
      </c>
      <c r="S132" s="1">
        <v>64.264474</v>
      </c>
      <c r="T132" s="1">
        <v>25.068786</v>
      </c>
      <c r="U132" s="1">
        <v>64.887677</v>
      </c>
      <c r="V132" s="1">
        <v>66.359824</v>
      </c>
      <c r="W132" s="1">
        <v>79.004745</v>
      </c>
      <c r="X132" s="1">
        <v>84.500114</v>
      </c>
      <c r="Y132" s="4"/>
    </row>
    <row r="133" ht="14.25" customHeight="1">
      <c r="A133" s="1" t="s">
        <v>156</v>
      </c>
      <c r="B133" s="2">
        <v>40527.0</v>
      </c>
      <c r="C133" s="3">
        <v>220.472</v>
      </c>
      <c r="D133" s="1">
        <v>90.6634782608695</v>
      </c>
      <c r="E133" s="1">
        <v>4.4319802</v>
      </c>
      <c r="F133" s="1">
        <v>4.7272353</v>
      </c>
      <c r="G133" s="1">
        <v>0.18</v>
      </c>
      <c r="H133" s="1">
        <v>24.031174</v>
      </c>
      <c r="I133" s="1">
        <v>13.443043</v>
      </c>
      <c r="J133" s="1">
        <v>13.498261</v>
      </c>
      <c r="K133" s="1">
        <v>13.496957</v>
      </c>
      <c r="L133" s="1">
        <v>11.246957</v>
      </c>
      <c r="M133" s="1">
        <v>18932.0</v>
      </c>
      <c r="N133" s="1">
        <v>64.54208673253221</v>
      </c>
      <c r="O133" s="1">
        <v>73.88413</v>
      </c>
      <c r="P133" s="1">
        <v>68.516193</v>
      </c>
      <c r="Q133" s="1">
        <v>44.663857</v>
      </c>
      <c r="R133" s="1">
        <v>76.435057</v>
      </c>
      <c r="S133" s="1">
        <v>66.391629</v>
      </c>
      <c r="T133" s="1">
        <v>25.171568</v>
      </c>
      <c r="U133" s="1">
        <v>66.529335</v>
      </c>
      <c r="V133" s="1">
        <v>67.063238</v>
      </c>
      <c r="W133" s="1">
        <v>79.40767</v>
      </c>
      <c r="X133" s="1">
        <v>84.880364</v>
      </c>
      <c r="Y133" s="4"/>
    </row>
    <row r="134" ht="14.25" customHeight="1">
      <c r="A134" s="1" t="s">
        <v>157</v>
      </c>
      <c r="B134" s="2">
        <v>40558.0</v>
      </c>
      <c r="C134" s="3">
        <v>221.187</v>
      </c>
      <c r="D134" s="1">
        <v>93.2380952380952</v>
      </c>
      <c r="E134" s="1">
        <v>4.4214204</v>
      </c>
      <c r="F134" s="1">
        <v>4.7271328</v>
      </c>
      <c r="G134" s="1">
        <v>0.17</v>
      </c>
      <c r="H134" s="1">
        <v>-13.262029</v>
      </c>
      <c r="I134" s="1">
        <v>13.5</v>
      </c>
      <c r="J134" s="1">
        <v>13.5</v>
      </c>
      <c r="K134" s="1">
        <v>13.5</v>
      </c>
      <c r="L134" s="1">
        <v>11.627143</v>
      </c>
      <c r="M134" s="1">
        <v>18932.0</v>
      </c>
      <c r="N134" s="1">
        <v>65.66511904167824</v>
      </c>
      <c r="O134" s="1">
        <v>75.117994</v>
      </c>
      <c r="P134" s="1">
        <v>69.756337</v>
      </c>
      <c r="Q134" s="1">
        <v>45.954642</v>
      </c>
      <c r="R134" s="1">
        <v>77.023607</v>
      </c>
      <c r="S134" s="1">
        <v>68.031502</v>
      </c>
      <c r="T134" s="1">
        <v>25.262186</v>
      </c>
      <c r="U134" s="1">
        <v>67.414176</v>
      </c>
      <c r="V134" s="1">
        <v>67.760696</v>
      </c>
      <c r="W134" s="1">
        <v>79.868234</v>
      </c>
      <c r="X134" s="1">
        <v>85.567895</v>
      </c>
      <c r="Y134" s="4"/>
    </row>
    <row r="135" ht="14.25" customHeight="1">
      <c r="A135" s="1" t="s">
        <v>158</v>
      </c>
      <c r="B135" s="2">
        <v>40589.0</v>
      </c>
      <c r="C135" s="3">
        <v>221.898</v>
      </c>
      <c r="D135" s="1">
        <v>96.82625</v>
      </c>
      <c r="E135" s="1">
        <v>4.3405647</v>
      </c>
      <c r="F135" s="1">
        <v>4.6537172</v>
      </c>
      <c r="G135" s="1">
        <v>0.16</v>
      </c>
      <c r="H135" s="1">
        <v>-30.500657</v>
      </c>
      <c r="I135" s="1">
        <v>13.5</v>
      </c>
      <c r="J135" s="1">
        <v>13.5</v>
      </c>
      <c r="K135" s="1">
        <v>13.5</v>
      </c>
      <c r="L135" s="1">
        <v>12.1455</v>
      </c>
      <c r="M135" s="1">
        <v>20318.0</v>
      </c>
      <c r="N135" s="1">
        <v>67.03752002964939</v>
      </c>
      <c r="O135" s="1">
        <v>76.72552</v>
      </c>
      <c r="P135" s="1">
        <v>70.718974</v>
      </c>
      <c r="Q135" s="1">
        <v>46.363639</v>
      </c>
      <c r="R135" s="1">
        <v>77.516558</v>
      </c>
      <c r="S135" s="1">
        <v>70.514652</v>
      </c>
      <c r="T135" s="1">
        <v>25.337972</v>
      </c>
      <c r="U135" s="1">
        <v>67.973713</v>
      </c>
      <c r="V135" s="1">
        <v>68.682241</v>
      </c>
      <c r="W135" s="1">
        <v>80.8586</v>
      </c>
      <c r="X135" s="1">
        <v>86.432131</v>
      </c>
      <c r="Y135" s="4"/>
    </row>
    <row r="136" ht="14.25" customHeight="1">
      <c r="A136" s="1" t="s">
        <v>159</v>
      </c>
      <c r="B136" s="2">
        <v>40617.0</v>
      </c>
      <c r="C136" s="3">
        <v>223.046</v>
      </c>
      <c r="D136" s="1">
        <v>108.92652173913</v>
      </c>
      <c r="E136" s="1">
        <v>4.3128576</v>
      </c>
      <c r="F136" s="1">
        <v>4.6479772</v>
      </c>
      <c r="G136" s="1">
        <v>0.14</v>
      </c>
      <c r="H136" s="1">
        <v>-7.4093028</v>
      </c>
      <c r="I136" s="1">
        <v>13.5</v>
      </c>
      <c r="J136" s="1">
        <v>13.5</v>
      </c>
      <c r="K136" s="1">
        <v>13.5</v>
      </c>
      <c r="L136" s="1">
        <v>13.431739</v>
      </c>
      <c r="M136" s="1">
        <v>20673.0</v>
      </c>
      <c r="N136" s="1">
        <v>68.49223421429278</v>
      </c>
      <c r="O136" s="1">
        <v>77.400704</v>
      </c>
      <c r="P136" s="1">
        <v>71.426164</v>
      </c>
      <c r="Q136" s="1">
        <v>46.780912</v>
      </c>
      <c r="R136" s="1">
        <v>78.46226</v>
      </c>
      <c r="S136" s="1">
        <v>71.910842</v>
      </c>
      <c r="T136" s="1">
        <v>25.517872</v>
      </c>
      <c r="U136" s="1">
        <v>70.468348</v>
      </c>
      <c r="V136" s="1">
        <v>69.636925</v>
      </c>
      <c r="W136" s="1">
        <v>81.651014</v>
      </c>
      <c r="X136" s="1">
        <v>92.214441</v>
      </c>
      <c r="Y136" s="4"/>
    </row>
    <row r="137" ht="14.25" customHeight="1">
      <c r="A137" s="1" t="s">
        <v>160</v>
      </c>
      <c r="B137" s="2">
        <v>40648.0</v>
      </c>
      <c r="C137" s="3">
        <v>224.093</v>
      </c>
      <c r="D137" s="1">
        <v>116.736666666666</v>
      </c>
      <c r="E137" s="1">
        <v>4.2967833</v>
      </c>
      <c r="F137" s="1">
        <v>4.6624248</v>
      </c>
      <c r="G137" s="1">
        <v>0.1</v>
      </c>
      <c r="H137" s="1">
        <v>-18.300997</v>
      </c>
      <c r="I137" s="1">
        <v>13.5</v>
      </c>
      <c r="J137" s="1">
        <v>13.5</v>
      </c>
      <c r="K137" s="1">
        <v>13.5</v>
      </c>
      <c r="L137" s="1">
        <v>13.5</v>
      </c>
      <c r="M137" s="1">
        <v>20714.0</v>
      </c>
      <c r="N137" s="1">
        <v>70.76617639020724</v>
      </c>
      <c r="O137" s="1">
        <v>78.182451</v>
      </c>
      <c r="P137" s="1">
        <v>72.59041</v>
      </c>
      <c r="Q137" s="1">
        <v>46.916576</v>
      </c>
      <c r="R137" s="1">
        <v>79.54504</v>
      </c>
      <c r="S137" s="1">
        <v>75.14683</v>
      </c>
      <c r="T137" s="1">
        <v>25.780706</v>
      </c>
      <c r="U137" s="1">
        <v>73.554862</v>
      </c>
      <c r="V137" s="1">
        <v>70.347221</v>
      </c>
      <c r="W137" s="1">
        <v>82.720643</v>
      </c>
      <c r="X137" s="1">
        <v>97.784193</v>
      </c>
      <c r="Y137" s="4"/>
    </row>
    <row r="138" ht="14.25" customHeight="1">
      <c r="A138" s="1" t="s">
        <v>161</v>
      </c>
      <c r="B138" s="2">
        <v>40678.0</v>
      </c>
      <c r="C138" s="3">
        <v>224.806</v>
      </c>
      <c r="D138" s="1">
        <v>108.114318181818</v>
      </c>
      <c r="E138" s="1">
        <v>4.2948182</v>
      </c>
      <c r="F138" s="1">
        <v>4.6804287</v>
      </c>
      <c r="G138" s="1">
        <v>0.09</v>
      </c>
      <c r="H138" s="1">
        <v>-17.756399</v>
      </c>
      <c r="I138" s="1">
        <v>13.5</v>
      </c>
      <c r="J138" s="1">
        <v>13.5</v>
      </c>
      <c r="K138" s="1">
        <v>13.5</v>
      </c>
      <c r="L138" s="1">
        <v>13.38</v>
      </c>
      <c r="M138" s="1">
        <v>20678.0</v>
      </c>
      <c r="N138" s="1">
        <v>72.33010888843086</v>
      </c>
      <c r="O138" s="1">
        <v>78.90173</v>
      </c>
      <c r="P138" s="1">
        <v>73.439718</v>
      </c>
      <c r="Q138" s="1">
        <v>47.033868</v>
      </c>
      <c r="R138" s="1">
        <v>80.316626</v>
      </c>
      <c r="S138" s="1">
        <v>77.408749</v>
      </c>
      <c r="T138" s="1">
        <v>26.090074</v>
      </c>
      <c r="U138" s="1">
        <v>75.901262</v>
      </c>
      <c r="V138" s="1">
        <v>71.796374</v>
      </c>
      <c r="W138" s="1">
        <v>83.448584</v>
      </c>
      <c r="X138" s="1">
        <v>100.39503</v>
      </c>
      <c r="Y138" s="4"/>
    </row>
    <row r="139" ht="14.25" customHeight="1">
      <c r="A139" s="1" t="s">
        <v>162</v>
      </c>
      <c r="B139" s="2">
        <v>40709.0</v>
      </c>
      <c r="C139" s="3">
        <v>224.806</v>
      </c>
      <c r="D139" s="1">
        <v>105.329545454545</v>
      </c>
      <c r="E139" s="1">
        <v>4.2951785</v>
      </c>
      <c r="F139" s="1">
        <v>4.6927933</v>
      </c>
      <c r="G139" s="1">
        <v>0.09</v>
      </c>
      <c r="H139" s="1">
        <v>-11.786637</v>
      </c>
      <c r="I139" s="1">
        <v>13.5</v>
      </c>
      <c r="J139" s="1">
        <v>13.5</v>
      </c>
      <c r="K139" s="1">
        <v>13.5</v>
      </c>
      <c r="L139" s="1">
        <v>12.623636</v>
      </c>
      <c r="M139" s="1">
        <v>20622.0</v>
      </c>
      <c r="N139" s="1">
        <v>73.11850707531478</v>
      </c>
      <c r="O139" s="1">
        <v>79.501383</v>
      </c>
      <c r="P139" s="1">
        <v>73.895044</v>
      </c>
      <c r="Q139" s="1">
        <v>47.254927</v>
      </c>
      <c r="R139" s="1">
        <v>80.894906</v>
      </c>
      <c r="S139" s="1">
        <v>78.794366</v>
      </c>
      <c r="T139" s="1">
        <v>26.1553</v>
      </c>
      <c r="U139" s="1">
        <v>76.326309</v>
      </c>
      <c r="V139" s="1">
        <v>72.413823</v>
      </c>
      <c r="W139" s="1">
        <v>84.091138</v>
      </c>
      <c r="X139" s="1">
        <v>100.78657</v>
      </c>
      <c r="Y139" s="4"/>
    </row>
    <row r="140" ht="14.25" customHeight="1">
      <c r="A140" s="1" t="s">
        <v>163</v>
      </c>
      <c r="B140" s="2">
        <v>40739.0</v>
      </c>
      <c r="C140" s="3">
        <v>225.395</v>
      </c>
      <c r="D140" s="1">
        <v>107.280714285714</v>
      </c>
      <c r="E140" s="1">
        <v>4.2924635</v>
      </c>
      <c r="F140" s="1">
        <v>4.7023053</v>
      </c>
      <c r="G140" s="1">
        <v>0.07</v>
      </c>
      <c r="H140" s="1">
        <v>-16.723054</v>
      </c>
      <c r="I140" s="1">
        <v>13.5</v>
      </c>
      <c r="J140" s="1">
        <v>13.5</v>
      </c>
      <c r="K140" s="1">
        <v>13.5</v>
      </c>
      <c r="L140" s="1">
        <v>12.173333</v>
      </c>
      <c r="M140" s="1">
        <v>20610.0</v>
      </c>
      <c r="N140" s="1">
        <v>73.97399360809595</v>
      </c>
      <c r="O140" s="1">
        <v>80.002242</v>
      </c>
      <c r="P140" s="1">
        <v>74.441868</v>
      </c>
      <c r="Q140" s="1">
        <v>47.37779</v>
      </c>
      <c r="R140" s="1">
        <v>81.388365</v>
      </c>
      <c r="S140" s="1">
        <v>80.464806</v>
      </c>
      <c r="T140" s="1">
        <v>26.259921</v>
      </c>
      <c r="U140" s="1">
        <v>76.601084</v>
      </c>
      <c r="V140" s="1">
        <v>72.768651</v>
      </c>
      <c r="W140" s="1">
        <v>84.461139</v>
      </c>
      <c r="X140" s="1">
        <v>101.04862</v>
      </c>
      <c r="Y140" s="4"/>
    </row>
    <row r="141" ht="14.25" customHeight="1">
      <c r="A141" s="1" t="s">
        <v>164</v>
      </c>
      <c r="B141" s="2">
        <v>40770.0</v>
      </c>
      <c r="C141" s="3">
        <v>226.106</v>
      </c>
      <c r="D141" s="1">
        <v>98.3445652173915</v>
      </c>
      <c r="E141" s="1">
        <v>4.2868486</v>
      </c>
      <c r="F141" s="1">
        <v>4.7068163</v>
      </c>
      <c r="G141" s="1">
        <v>0.1</v>
      </c>
      <c r="H141" s="1">
        <v>-15.316048</v>
      </c>
      <c r="I141" s="1">
        <v>13.497391</v>
      </c>
      <c r="J141" s="1">
        <v>13.5</v>
      </c>
      <c r="K141" s="1">
        <v>13.5</v>
      </c>
      <c r="L141" s="1">
        <v>10.912174</v>
      </c>
      <c r="M141" s="1">
        <v>20618.0</v>
      </c>
      <c r="N141" s="1">
        <v>74.6619517486512</v>
      </c>
      <c r="O141" s="1">
        <v>80.442254</v>
      </c>
      <c r="P141" s="1">
        <v>75.029958</v>
      </c>
      <c r="Q141" s="1">
        <v>47.913159</v>
      </c>
      <c r="R141" s="1">
        <v>81.803446</v>
      </c>
      <c r="S141" s="1">
        <v>81.551081</v>
      </c>
      <c r="T141" s="1">
        <v>26.325571</v>
      </c>
      <c r="U141" s="1">
        <v>77.282834</v>
      </c>
      <c r="V141" s="1">
        <v>73.503614</v>
      </c>
      <c r="W141" s="1">
        <v>84.748307</v>
      </c>
      <c r="X141" s="1">
        <v>101.26082</v>
      </c>
      <c r="Y141" s="4"/>
    </row>
    <row r="142" ht="14.25" customHeight="1">
      <c r="A142" s="1" t="s">
        <v>165</v>
      </c>
      <c r="B142" s="2">
        <v>40801.0</v>
      </c>
      <c r="C142" s="3">
        <v>226.597</v>
      </c>
      <c r="D142" s="1">
        <v>98.8054545454544</v>
      </c>
      <c r="E142" s="1">
        <v>4.3113382</v>
      </c>
      <c r="F142" s="1">
        <v>4.7357821</v>
      </c>
      <c r="G142" s="1">
        <v>0.08</v>
      </c>
      <c r="H142" s="1">
        <v>12.919938</v>
      </c>
      <c r="I142" s="1">
        <v>13.5</v>
      </c>
      <c r="J142" s="1">
        <v>13.5</v>
      </c>
      <c r="K142" s="1">
        <v>13.5</v>
      </c>
      <c r="L142" s="1">
        <v>12.01</v>
      </c>
      <c r="M142" s="1">
        <v>20628.0</v>
      </c>
      <c r="N142" s="1">
        <v>75.27417975299016</v>
      </c>
      <c r="O142" s="1">
        <v>80.916863</v>
      </c>
      <c r="P142" s="1">
        <v>75.720234</v>
      </c>
      <c r="Q142" s="1">
        <v>52.043273</v>
      </c>
      <c r="R142" s="1">
        <v>82.220643</v>
      </c>
      <c r="S142" s="1">
        <v>81.779424</v>
      </c>
      <c r="T142" s="1">
        <v>26.399282</v>
      </c>
      <c r="U142" s="1">
        <v>77.56878</v>
      </c>
      <c r="V142" s="1">
        <v>74.510613</v>
      </c>
      <c r="W142" s="1">
        <v>85.273747</v>
      </c>
      <c r="X142" s="1">
        <v>101.01779</v>
      </c>
      <c r="Y142" s="4"/>
    </row>
    <row r="143" ht="14.25" customHeight="1">
      <c r="A143" s="1" t="s">
        <v>166</v>
      </c>
      <c r="B143" s="2">
        <v>40831.0</v>
      </c>
      <c r="C143" s="3">
        <v>226.75</v>
      </c>
      <c r="D143" s="1">
        <v>98.4207142857144</v>
      </c>
      <c r="E143" s="1">
        <v>4.3165405</v>
      </c>
      <c r="F143" s="1">
        <v>4.7450284</v>
      </c>
      <c r="G143" s="1">
        <v>0.07</v>
      </c>
      <c r="H143" s="1">
        <v>24.892976</v>
      </c>
      <c r="I143" s="1">
        <v>13.49</v>
      </c>
      <c r="J143" s="1">
        <v>13.5</v>
      </c>
      <c r="K143" s="1">
        <v>13.5</v>
      </c>
      <c r="L143" s="1">
        <v>11.841905</v>
      </c>
      <c r="M143" s="1">
        <v>20708.0</v>
      </c>
      <c r="N143" s="1">
        <v>75.54516680010096</v>
      </c>
      <c r="O143" s="1">
        <v>81.313356</v>
      </c>
      <c r="P143" s="1">
        <v>76.197271</v>
      </c>
      <c r="Q143" s="1">
        <v>53.708658</v>
      </c>
      <c r="R143" s="1">
        <v>82.820854</v>
      </c>
      <c r="S143" s="1">
        <v>81.828492</v>
      </c>
      <c r="T143" s="1">
        <v>26.518079</v>
      </c>
      <c r="U143" s="1">
        <v>77.54551</v>
      </c>
      <c r="V143" s="1">
        <v>74.659635</v>
      </c>
      <c r="W143" s="1">
        <v>85.529568</v>
      </c>
      <c r="X143" s="1">
        <v>100.88647</v>
      </c>
      <c r="Y143" s="4"/>
    </row>
    <row r="144" ht="14.25" customHeight="1">
      <c r="A144" s="1" t="s">
        <v>167</v>
      </c>
      <c r="B144" s="2">
        <v>40862.0</v>
      </c>
      <c r="C144" s="3">
        <v>227.169</v>
      </c>
      <c r="D144" s="1">
        <v>104.133863636363</v>
      </c>
      <c r="E144" s="1">
        <v>4.3163973</v>
      </c>
      <c r="F144" s="1">
        <v>4.7470773</v>
      </c>
      <c r="G144" s="1">
        <v>0.08</v>
      </c>
      <c r="H144" s="1">
        <v>12.720428</v>
      </c>
      <c r="I144" s="1">
        <v>13.5</v>
      </c>
      <c r="J144" s="1">
        <v>13.5</v>
      </c>
      <c r="K144" s="1">
        <v>13.5</v>
      </c>
      <c r="L144" s="1">
        <v>11.668182</v>
      </c>
      <c r="M144" s="1">
        <v>20803.0</v>
      </c>
      <c r="N144" s="1">
        <v>75.83979295062137</v>
      </c>
      <c r="O144" s="1">
        <v>81.516639</v>
      </c>
      <c r="P144" s="1">
        <v>76.692554</v>
      </c>
      <c r="Q144" s="1">
        <v>53.751625</v>
      </c>
      <c r="R144" s="1">
        <v>83.326061</v>
      </c>
      <c r="S144" s="1">
        <v>82.286731</v>
      </c>
      <c r="T144" s="1">
        <v>26.571115</v>
      </c>
      <c r="U144" s="1">
        <v>77.638564</v>
      </c>
      <c r="V144" s="1">
        <v>75.115058</v>
      </c>
      <c r="W144" s="1">
        <v>85.512462</v>
      </c>
      <c r="X144" s="1">
        <v>100.87638</v>
      </c>
      <c r="Y144" s="4"/>
    </row>
    <row r="145" ht="14.25" customHeight="1">
      <c r="A145" s="1" t="s">
        <v>168</v>
      </c>
      <c r="B145" s="2">
        <v>40892.0</v>
      </c>
      <c r="C145" s="3">
        <v>227.223</v>
      </c>
      <c r="D145" s="1">
        <v>103.457272727272</v>
      </c>
      <c r="E145" s="1">
        <v>4.3283166</v>
      </c>
      <c r="F145" s="1">
        <v>4.7617092</v>
      </c>
      <c r="G145" s="1">
        <v>0.07</v>
      </c>
      <c r="H145" s="1">
        <v>14.670274</v>
      </c>
      <c r="I145" s="1">
        <v>13.495455</v>
      </c>
      <c r="J145" s="1">
        <v>13.5</v>
      </c>
      <c r="K145" s="1">
        <v>13.5</v>
      </c>
      <c r="L145" s="1">
        <v>11.388182</v>
      </c>
      <c r="M145" s="1">
        <v>20813.0</v>
      </c>
      <c r="N145" s="1">
        <v>76.24174385325963</v>
      </c>
      <c r="O145" s="1">
        <v>81.916071</v>
      </c>
      <c r="P145" s="1">
        <v>77.35211</v>
      </c>
      <c r="Q145" s="1">
        <v>53.7785</v>
      </c>
      <c r="R145" s="1">
        <v>83.892678</v>
      </c>
      <c r="S145" s="1">
        <v>82.85451</v>
      </c>
      <c r="T145" s="1">
        <v>26.634886</v>
      </c>
      <c r="U145" s="1">
        <v>78.034521</v>
      </c>
      <c r="V145" s="1">
        <v>75.565749</v>
      </c>
      <c r="W145" s="1">
        <v>85.811756</v>
      </c>
      <c r="X145" s="1">
        <v>101.03778</v>
      </c>
      <c r="Y145" s="4"/>
    </row>
    <row r="146" ht="14.25" customHeight="1">
      <c r="A146" s="1" t="s">
        <v>169</v>
      </c>
      <c r="B146" s="2">
        <v>40923.0</v>
      </c>
      <c r="C146" s="3">
        <v>227.842</v>
      </c>
      <c r="D146" s="1">
        <v>105.758636363636</v>
      </c>
      <c r="E146" s="1">
        <v>4.3296597</v>
      </c>
      <c r="F146" s="1">
        <v>4.7649459</v>
      </c>
      <c r="G146" s="1">
        <v>0.08</v>
      </c>
      <c r="H146" s="1">
        <v>-44.10519</v>
      </c>
      <c r="I146" s="1">
        <v>13.5</v>
      </c>
      <c r="J146" s="1">
        <v>13.5</v>
      </c>
      <c r="K146" s="1">
        <v>13.5</v>
      </c>
      <c r="L146" s="1">
        <v>13.025455</v>
      </c>
      <c r="M146" s="1">
        <v>20828.0</v>
      </c>
      <c r="N146" s="1">
        <v>77.00416129179223</v>
      </c>
      <c r="O146" s="1">
        <v>82.874489</v>
      </c>
      <c r="P146" s="1">
        <v>78.875946</v>
      </c>
      <c r="Q146" s="1">
        <v>53.789256</v>
      </c>
      <c r="R146" s="1">
        <v>84.698048</v>
      </c>
      <c r="S146" s="1">
        <v>83.69134</v>
      </c>
      <c r="T146" s="1">
        <v>26.701473</v>
      </c>
      <c r="U146" s="1">
        <v>79.368911</v>
      </c>
      <c r="V146" s="1">
        <v>76.321406</v>
      </c>
      <c r="W146" s="1">
        <v>86.609805</v>
      </c>
      <c r="X146" s="1">
        <v>101.70463</v>
      </c>
      <c r="Y146" s="4"/>
    </row>
    <row r="147" ht="14.25" customHeight="1">
      <c r="A147" s="1" t="s">
        <v>170</v>
      </c>
      <c r="B147" s="2">
        <v>40954.0</v>
      </c>
      <c r="C147" s="3">
        <v>228.329</v>
      </c>
      <c r="D147" s="1">
        <v>110.731428571428</v>
      </c>
      <c r="E147" s="1">
        <v>4.3161055</v>
      </c>
      <c r="F147" s="1">
        <v>4.7579242</v>
      </c>
      <c r="G147" s="1">
        <v>0.1</v>
      </c>
      <c r="H147" s="1">
        <v>-83.310502</v>
      </c>
      <c r="I147" s="1">
        <v>13.389048</v>
      </c>
      <c r="J147" s="1">
        <v>13.5</v>
      </c>
      <c r="K147" s="1">
        <v>13.5</v>
      </c>
      <c r="L147" s="1">
        <v>11.374762</v>
      </c>
      <c r="M147" s="1">
        <v>20828.0</v>
      </c>
      <c r="N147" s="1">
        <v>78.05911830148985</v>
      </c>
      <c r="O147" s="1">
        <v>83.587209</v>
      </c>
      <c r="P147" s="1">
        <v>79.309764</v>
      </c>
      <c r="Q147" s="1">
        <v>53.826909</v>
      </c>
      <c r="R147" s="1">
        <v>85.04531</v>
      </c>
      <c r="S147" s="1">
        <v>85.457228</v>
      </c>
      <c r="T147" s="1">
        <v>26.778907</v>
      </c>
      <c r="U147" s="1">
        <v>81.329323</v>
      </c>
      <c r="V147" s="1">
        <v>77.000667</v>
      </c>
      <c r="W147" s="1">
        <v>87.060176</v>
      </c>
      <c r="X147" s="1">
        <v>101.93855</v>
      </c>
      <c r="Y147" s="4"/>
    </row>
    <row r="148" ht="14.25" customHeight="1">
      <c r="A148" s="1" t="s">
        <v>171</v>
      </c>
      <c r="B148" s="2">
        <v>40983.0</v>
      </c>
      <c r="C148" s="3">
        <v>228.807</v>
      </c>
      <c r="D148" s="1">
        <v>115.445227272727</v>
      </c>
      <c r="E148" s="1">
        <v>4.3264031</v>
      </c>
      <c r="F148" s="1">
        <v>4.7692558</v>
      </c>
      <c r="G148" s="1">
        <v>0.13</v>
      </c>
      <c r="H148" s="1">
        <v>-63.264737</v>
      </c>
      <c r="I148" s="1">
        <v>12.135455</v>
      </c>
      <c r="J148" s="1">
        <v>13.176364</v>
      </c>
      <c r="K148" s="1">
        <v>13.299545</v>
      </c>
      <c r="L148" s="1">
        <v>8.5609091</v>
      </c>
      <c r="M148" s="1">
        <v>20828.0</v>
      </c>
      <c r="N148" s="1">
        <v>78.18401289077218</v>
      </c>
      <c r="O148" s="1">
        <v>83.720949</v>
      </c>
      <c r="P148" s="1">
        <v>79.634934</v>
      </c>
      <c r="Q148" s="1">
        <v>54.424387</v>
      </c>
      <c r="R148" s="1">
        <v>85.513059</v>
      </c>
      <c r="S148" s="1">
        <v>84.747933</v>
      </c>
      <c r="T148" s="1">
        <v>26.907446</v>
      </c>
      <c r="U148" s="1">
        <v>83.208031</v>
      </c>
      <c r="V148" s="1">
        <v>77.33947</v>
      </c>
      <c r="W148" s="1">
        <v>87.373593</v>
      </c>
      <c r="X148" s="1">
        <v>103.03949</v>
      </c>
      <c r="Y148" s="4"/>
    </row>
    <row r="149" ht="14.25" customHeight="1">
      <c r="A149" s="1" t="s">
        <v>172</v>
      </c>
      <c r="B149" s="2">
        <v>41014.0</v>
      </c>
      <c r="C149" s="3">
        <v>229.187</v>
      </c>
      <c r="D149" s="1">
        <v>111.897857142857</v>
      </c>
      <c r="E149" s="1">
        <v>4.3262975</v>
      </c>
      <c r="F149" s="1">
        <v>4.7695517</v>
      </c>
      <c r="G149" s="1">
        <v>0.14</v>
      </c>
      <c r="H149" s="1">
        <v>-46.030125</v>
      </c>
      <c r="I149" s="1">
        <v>9.9538095</v>
      </c>
      <c r="J149" s="1">
        <v>11.619524</v>
      </c>
      <c r="K149" s="1">
        <v>12.211429</v>
      </c>
      <c r="L149" s="1">
        <v>5.8495238</v>
      </c>
      <c r="M149" s="1">
        <v>20828.0</v>
      </c>
      <c r="N149" s="1">
        <v>78.22310489721757</v>
      </c>
      <c r="O149" s="1">
        <v>83.888391</v>
      </c>
      <c r="P149" s="1">
        <v>80.08089</v>
      </c>
      <c r="Q149" s="1">
        <v>55.311505</v>
      </c>
      <c r="R149" s="1">
        <v>85.966279</v>
      </c>
      <c r="S149" s="1">
        <v>84.069949</v>
      </c>
      <c r="T149" s="1">
        <v>26.974715</v>
      </c>
      <c r="U149" s="1">
        <v>82.841915</v>
      </c>
      <c r="V149" s="1">
        <v>77.63336</v>
      </c>
      <c r="W149" s="1">
        <v>87.609501</v>
      </c>
      <c r="X149" s="1">
        <v>105.79064</v>
      </c>
      <c r="Y149" s="4"/>
    </row>
    <row r="150" ht="14.25" customHeight="1">
      <c r="A150" s="1" t="s">
        <v>173</v>
      </c>
      <c r="B150" s="2">
        <v>41044.0</v>
      </c>
      <c r="C150" s="3">
        <v>228.713</v>
      </c>
      <c r="D150" s="1">
        <v>102.678478260869</v>
      </c>
      <c r="E150" s="1">
        <v>4.3370809</v>
      </c>
      <c r="F150" s="1">
        <v>4.7826966</v>
      </c>
      <c r="G150" s="1">
        <v>0.16</v>
      </c>
      <c r="H150" s="1">
        <v>-38.043511</v>
      </c>
      <c r="I150" s="1">
        <v>6.6504348</v>
      </c>
      <c r="J150" s="1">
        <v>9.0365217</v>
      </c>
      <c r="K150" s="1">
        <v>10.125652</v>
      </c>
      <c r="L150" s="1">
        <v>2.6717391</v>
      </c>
      <c r="M150" s="1">
        <v>20828.0</v>
      </c>
      <c r="N150" s="1">
        <v>78.36390648603256</v>
      </c>
      <c r="O150" s="1">
        <v>84.249111</v>
      </c>
      <c r="P150" s="1">
        <v>80.545359</v>
      </c>
      <c r="Q150" s="1">
        <v>55.350223</v>
      </c>
      <c r="R150" s="1">
        <v>86.456286</v>
      </c>
      <c r="S150" s="1">
        <v>83.952251</v>
      </c>
      <c r="T150" s="1">
        <v>27.063731</v>
      </c>
      <c r="U150" s="1">
        <v>82.038349</v>
      </c>
      <c r="V150" s="1">
        <v>80.032231</v>
      </c>
      <c r="W150" s="1">
        <v>88.161441</v>
      </c>
      <c r="X150" s="1">
        <v>107.18708</v>
      </c>
      <c r="Y150" s="4"/>
    </row>
    <row r="151" ht="14.25" customHeight="1">
      <c r="A151" s="1" t="s">
        <v>174</v>
      </c>
      <c r="B151" s="2">
        <v>41075.0</v>
      </c>
      <c r="C151" s="3">
        <v>228.524</v>
      </c>
      <c r="D151" s="1">
        <v>89.1447619047619</v>
      </c>
      <c r="E151" s="1">
        <v>4.3485752</v>
      </c>
      <c r="F151" s="1">
        <v>4.795238</v>
      </c>
      <c r="G151" s="1">
        <v>0.16</v>
      </c>
      <c r="H151" s="1">
        <v>-53.90499</v>
      </c>
      <c r="I151" s="1">
        <v>6.8838095</v>
      </c>
      <c r="J151" s="1">
        <v>8.5685714</v>
      </c>
      <c r="K151" s="1">
        <v>9.6709524</v>
      </c>
      <c r="L151" s="1">
        <v>4.2352381</v>
      </c>
      <c r="M151" s="1">
        <v>20828.0</v>
      </c>
      <c r="N151" s="1">
        <v>78.16016032916885</v>
      </c>
      <c r="O151" s="1">
        <v>84.527133</v>
      </c>
      <c r="P151" s="1">
        <v>81.04474</v>
      </c>
      <c r="Q151" s="1">
        <v>55.405573</v>
      </c>
      <c r="R151" s="1">
        <v>86.853985</v>
      </c>
      <c r="S151" s="1">
        <v>83.759161</v>
      </c>
      <c r="T151" s="1">
        <v>27.188224</v>
      </c>
      <c r="U151" s="1">
        <v>81.045685</v>
      </c>
      <c r="V151" s="1">
        <v>80.312343</v>
      </c>
      <c r="W151" s="1">
        <v>87.923405</v>
      </c>
      <c r="X151" s="1">
        <v>105.42921</v>
      </c>
      <c r="Y151" s="4"/>
    </row>
    <row r="152" ht="14.25" customHeight="1">
      <c r="A152" s="1" t="s">
        <v>175</v>
      </c>
      <c r="B152" s="2">
        <v>41105.0</v>
      </c>
      <c r="C152" s="3">
        <v>228.59</v>
      </c>
      <c r="D152" s="1">
        <v>95.4493181818179</v>
      </c>
      <c r="E152" s="1">
        <v>4.3499602</v>
      </c>
      <c r="F152" s="1">
        <v>4.7946966</v>
      </c>
      <c r="G152" s="1">
        <v>0.16</v>
      </c>
      <c r="H152" s="1">
        <v>-41.814963</v>
      </c>
      <c r="I152" s="1">
        <v>6.5690909</v>
      </c>
      <c r="J152" s="1">
        <v>8.5822727</v>
      </c>
      <c r="K152" s="1">
        <v>9.6377273</v>
      </c>
      <c r="L152" s="1">
        <v>4.0422727</v>
      </c>
      <c r="M152" s="1">
        <v>20828.0</v>
      </c>
      <c r="N152" s="1">
        <v>77.93349586421427</v>
      </c>
      <c r="O152" s="1">
        <v>84.806073</v>
      </c>
      <c r="P152" s="1">
        <v>81.417546</v>
      </c>
      <c r="Q152" s="1">
        <v>55.466519</v>
      </c>
      <c r="R152" s="1">
        <v>87.201401</v>
      </c>
      <c r="S152" s="1">
        <v>83.365493</v>
      </c>
      <c r="T152" s="1">
        <v>28.101749</v>
      </c>
      <c r="U152" s="1">
        <v>80.29196</v>
      </c>
      <c r="V152" s="1">
        <v>80.633593</v>
      </c>
      <c r="W152" s="1">
        <v>88.116837</v>
      </c>
      <c r="X152" s="1">
        <v>102.57208</v>
      </c>
      <c r="Y152" s="4"/>
    </row>
    <row r="153" ht="14.25" customHeight="1">
      <c r="A153" s="1" t="s">
        <v>176</v>
      </c>
      <c r="B153" s="2">
        <v>41136.0</v>
      </c>
      <c r="C153" s="3">
        <v>229.918</v>
      </c>
      <c r="D153" s="1">
        <v>103.949347826087</v>
      </c>
      <c r="E153" s="1">
        <v>4.3433194</v>
      </c>
      <c r="F153" s="1">
        <v>4.7915222</v>
      </c>
      <c r="G153" s="1">
        <v>0.13</v>
      </c>
      <c r="H153" s="1">
        <v>-75.057398</v>
      </c>
      <c r="I153" s="1">
        <v>6.1734783</v>
      </c>
      <c r="J153" s="1">
        <v>8.2891304</v>
      </c>
      <c r="K153" s="1">
        <v>9.3278261</v>
      </c>
      <c r="L153" s="1">
        <v>3.4386957</v>
      </c>
      <c r="M153" s="1">
        <v>20828.0</v>
      </c>
      <c r="N153" s="1">
        <v>78.42447688815885</v>
      </c>
      <c r="O153" s="1">
        <v>85.009607</v>
      </c>
      <c r="P153" s="1">
        <v>81.881626</v>
      </c>
      <c r="Q153" s="1">
        <v>55.732758</v>
      </c>
      <c r="R153" s="1">
        <v>87.506606</v>
      </c>
      <c r="S153" s="1">
        <v>83.215435</v>
      </c>
      <c r="T153" s="1">
        <v>29.630484</v>
      </c>
      <c r="U153" s="1">
        <v>81.921887</v>
      </c>
      <c r="V153" s="1">
        <v>80.972254</v>
      </c>
      <c r="W153" s="1">
        <v>88.953947</v>
      </c>
      <c r="X153" s="1">
        <v>103.6696</v>
      </c>
      <c r="Y153" s="4"/>
    </row>
    <row r="154" ht="14.25" customHeight="1">
      <c r="A154" s="1" t="s">
        <v>177</v>
      </c>
      <c r="B154" s="2">
        <v>41167.0</v>
      </c>
      <c r="C154" s="3">
        <v>231.015</v>
      </c>
      <c r="D154" s="1">
        <v>104.173</v>
      </c>
      <c r="E154" s="1">
        <v>4.3273823</v>
      </c>
      <c r="F154" s="1">
        <v>4.7916258</v>
      </c>
      <c r="G154" s="1">
        <v>0.14</v>
      </c>
      <c r="H154" s="1">
        <v>-82.697915</v>
      </c>
      <c r="I154" s="1">
        <v>6.639</v>
      </c>
      <c r="J154" s="1">
        <v>8.2125</v>
      </c>
      <c r="K154" s="1">
        <v>9.199</v>
      </c>
      <c r="L154" s="1">
        <v>3.8105</v>
      </c>
      <c r="M154" s="1">
        <v>20828.0</v>
      </c>
      <c r="N154" s="1">
        <v>80.1498153796983</v>
      </c>
      <c r="O154" s="1">
        <v>85.128621</v>
      </c>
      <c r="P154" s="1">
        <v>82.258281</v>
      </c>
      <c r="Q154" s="1">
        <v>61.606991</v>
      </c>
      <c r="R154" s="1">
        <v>87.777877</v>
      </c>
      <c r="S154" s="1">
        <v>83.282008</v>
      </c>
      <c r="T154" s="1">
        <v>34.673592</v>
      </c>
      <c r="U154" s="1">
        <v>83.707784</v>
      </c>
      <c r="V154" s="1">
        <v>81.466185</v>
      </c>
      <c r="W154" s="1">
        <v>89.247495</v>
      </c>
      <c r="X154" s="1">
        <v>107.64015</v>
      </c>
      <c r="Y154" s="4"/>
    </row>
    <row r="155" ht="14.25" customHeight="1">
      <c r="A155" s="1" t="s">
        <v>178</v>
      </c>
      <c r="B155" s="2">
        <v>41197.0</v>
      </c>
      <c r="C155" s="3">
        <v>231.638</v>
      </c>
      <c r="D155" s="1">
        <v>100.694565217391</v>
      </c>
      <c r="E155" s="1">
        <v>4.3236092</v>
      </c>
      <c r="F155" s="1">
        <v>4.7962106</v>
      </c>
      <c r="G155" s="1">
        <v>0.16</v>
      </c>
      <c r="H155" s="1">
        <v>-53.010429</v>
      </c>
      <c r="I155" s="1">
        <v>5.8491304</v>
      </c>
      <c r="J155" s="1">
        <v>7.63</v>
      </c>
      <c r="K155" s="1">
        <v>8.6443478</v>
      </c>
      <c r="L155" s="1">
        <v>3.1473913</v>
      </c>
      <c r="M155" s="1">
        <v>20828.0</v>
      </c>
      <c r="N155" s="1">
        <v>80.8310888104257</v>
      </c>
      <c r="O155" s="1">
        <v>85.273339</v>
      </c>
      <c r="P155" s="1">
        <v>82.710702</v>
      </c>
      <c r="Q155" s="1">
        <v>62.765203</v>
      </c>
      <c r="R155" s="1">
        <v>88.04121</v>
      </c>
      <c r="S155" s="1">
        <v>83.523525</v>
      </c>
      <c r="T155" s="1">
        <v>36.733203</v>
      </c>
      <c r="U155" s="1">
        <v>84.620199</v>
      </c>
      <c r="V155" s="1">
        <v>82.044594</v>
      </c>
      <c r="W155" s="1">
        <v>89.461689</v>
      </c>
      <c r="X155" s="1">
        <v>108.29675</v>
      </c>
      <c r="Y155" s="4"/>
    </row>
    <row r="156" ht="14.25" customHeight="1">
      <c r="A156" s="1" t="s">
        <v>179</v>
      </c>
      <c r="B156" s="2">
        <v>41228.0</v>
      </c>
      <c r="C156" s="3">
        <v>231.249</v>
      </c>
      <c r="D156" s="1">
        <v>98.3163636363635</v>
      </c>
      <c r="E156" s="1">
        <v>4.3300882</v>
      </c>
      <c r="F156" s="1">
        <v>4.8074269</v>
      </c>
      <c r="G156" s="1">
        <v>0.16</v>
      </c>
      <c r="H156" s="1">
        <v>-45.370434</v>
      </c>
      <c r="I156" s="1">
        <v>4.9995455</v>
      </c>
      <c r="J156" s="1">
        <v>7.2859091</v>
      </c>
      <c r="K156" s="1">
        <v>8.405</v>
      </c>
      <c r="L156" s="1">
        <v>2.4945455</v>
      </c>
      <c r="M156" s="1">
        <v>20828.0</v>
      </c>
      <c r="N156" s="1">
        <v>81.2109949278347</v>
      </c>
      <c r="O156" s="1">
        <v>85.469468</v>
      </c>
      <c r="P156" s="1">
        <v>83.397201</v>
      </c>
      <c r="Q156" s="1">
        <v>62.846797</v>
      </c>
      <c r="R156" s="1">
        <v>88.534241</v>
      </c>
      <c r="S156" s="1">
        <v>83.456707</v>
      </c>
      <c r="T156" s="1">
        <v>38.628637</v>
      </c>
      <c r="U156" s="1">
        <v>85.068686</v>
      </c>
      <c r="V156" s="1">
        <v>82.389182</v>
      </c>
      <c r="W156" s="1">
        <v>89.774805</v>
      </c>
      <c r="X156" s="1">
        <v>108.32924</v>
      </c>
      <c r="Y156" s="4"/>
    </row>
    <row r="157" ht="14.25" customHeight="1">
      <c r="A157" s="1" t="s">
        <v>180</v>
      </c>
      <c r="B157" s="2">
        <v>41258.0</v>
      </c>
      <c r="C157" s="3">
        <v>231.221</v>
      </c>
      <c r="D157" s="1">
        <v>98.9159523809525</v>
      </c>
      <c r="E157" s="1">
        <v>4.3286236</v>
      </c>
      <c r="F157" s="1">
        <v>4.8067019</v>
      </c>
      <c r="G157" s="1">
        <v>0.16</v>
      </c>
      <c r="H157" s="1">
        <v>-63.212329</v>
      </c>
      <c r="I157" s="1">
        <v>5.7171429</v>
      </c>
      <c r="J157" s="1">
        <v>7.31</v>
      </c>
      <c r="K157" s="1">
        <v>8.3742857</v>
      </c>
      <c r="L157" s="1">
        <v>3.3733333</v>
      </c>
      <c r="M157" s="1">
        <v>20828.0</v>
      </c>
      <c r="N157" s="1">
        <v>81.43026461413993</v>
      </c>
      <c r="O157" s="1">
        <v>85.74297</v>
      </c>
      <c r="P157" s="1">
        <v>84.372948</v>
      </c>
      <c r="Q157" s="1">
        <v>62.90336</v>
      </c>
      <c r="R157" s="1">
        <v>89.056593</v>
      </c>
      <c r="S157" s="1">
        <v>83.690385</v>
      </c>
      <c r="T157" s="1">
        <v>38.682717</v>
      </c>
      <c r="U157" s="1">
        <v>85.196289</v>
      </c>
      <c r="V157" s="1">
        <v>82.974145</v>
      </c>
      <c r="W157" s="1">
        <v>90.080039</v>
      </c>
      <c r="X157" s="1">
        <v>107.86343</v>
      </c>
      <c r="Y157" s="4"/>
    </row>
    <row r="158" ht="14.25" customHeight="1">
      <c r="A158" s="1" t="s">
        <v>181</v>
      </c>
      <c r="B158" s="2">
        <v>41289.0</v>
      </c>
      <c r="C158" s="3">
        <v>231.679</v>
      </c>
      <c r="D158" s="1">
        <v>103.628695652174</v>
      </c>
      <c r="E158" s="1">
        <v>4.3333105</v>
      </c>
      <c r="F158" s="1">
        <v>4.8186185</v>
      </c>
      <c r="G158" s="1">
        <v>0.14</v>
      </c>
      <c r="H158" s="1">
        <v>-73.720196</v>
      </c>
      <c r="I158" s="1">
        <v>5.4391304</v>
      </c>
      <c r="J158" s="1">
        <v>7.1443478</v>
      </c>
      <c r="K158" s="1">
        <v>7.9465217</v>
      </c>
      <c r="L158" s="1">
        <v>3.3191304</v>
      </c>
      <c r="M158" s="1">
        <v>20828.0</v>
      </c>
      <c r="N158" s="1">
        <v>82.44814292181663</v>
      </c>
      <c r="O158" s="1">
        <v>86.103091</v>
      </c>
      <c r="P158" s="1">
        <v>85.469796</v>
      </c>
      <c r="Q158" s="1">
        <v>63.09207</v>
      </c>
      <c r="R158" s="1">
        <v>89.537499</v>
      </c>
      <c r="S158" s="1">
        <v>84.811837</v>
      </c>
      <c r="T158" s="1">
        <v>41.545238</v>
      </c>
      <c r="U158" s="1">
        <v>85.502995</v>
      </c>
      <c r="V158" s="1">
        <v>83.588154</v>
      </c>
      <c r="W158" s="1">
        <v>90.377303</v>
      </c>
      <c r="X158" s="1">
        <v>107.89578</v>
      </c>
      <c r="Y158" s="4"/>
    </row>
    <row r="159" ht="14.25" customHeight="1">
      <c r="A159" s="1" t="s">
        <v>182</v>
      </c>
      <c r="B159" s="2">
        <v>41320.0</v>
      </c>
      <c r="C159" s="3">
        <v>232.937</v>
      </c>
      <c r="D159" s="1">
        <v>105.89875</v>
      </c>
      <c r="E159" s="1">
        <v>4.3437847</v>
      </c>
      <c r="F159" s="1">
        <v>4.832333</v>
      </c>
      <c r="G159" s="1">
        <v>0.15</v>
      </c>
      <c r="H159" s="1">
        <v>-77.480995</v>
      </c>
      <c r="I159" s="1">
        <v>5.605</v>
      </c>
      <c r="J159" s="1">
        <v>6.7625</v>
      </c>
      <c r="K159" s="1">
        <v>7.472</v>
      </c>
      <c r="L159" s="1">
        <v>3.86</v>
      </c>
      <c r="M159" s="1">
        <v>20828.0</v>
      </c>
      <c r="N159" s="1">
        <v>83.53645840838462</v>
      </c>
      <c r="O159" s="1">
        <v>87.394637</v>
      </c>
      <c r="P159" s="1">
        <v>86.39287</v>
      </c>
      <c r="Q159" s="1">
        <v>63.110997</v>
      </c>
      <c r="R159" s="1">
        <v>90.074724</v>
      </c>
      <c r="S159" s="1">
        <v>86.745546</v>
      </c>
      <c r="T159" s="1">
        <v>41.7862</v>
      </c>
      <c r="U159" s="1">
        <v>85.887759</v>
      </c>
      <c r="V159" s="1">
        <v>84.482547</v>
      </c>
      <c r="W159" s="1">
        <v>90.738812</v>
      </c>
      <c r="X159" s="1">
        <v>108.76974</v>
      </c>
      <c r="Y159" s="4"/>
    </row>
    <row r="160" ht="14.25" customHeight="1">
      <c r="A160" s="1" t="s">
        <v>183</v>
      </c>
      <c r="B160" s="2">
        <v>41348.0</v>
      </c>
      <c r="C160" s="3">
        <v>232.282</v>
      </c>
      <c r="D160" s="1">
        <v>101.39238095238</v>
      </c>
      <c r="E160" s="1">
        <v>4.3589046</v>
      </c>
      <c r="F160" s="1">
        <v>4.851408</v>
      </c>
      <c r="G160" s="1">
        <v>0.14</v>
      </c>
      <c r="H160" s="1">
        <v>-60.818316</v>
      </c>
      <c r="I160" s="1">
        <v>4.8704762</v>
      </c>
      <c r="J160" s="1">
        <v>6.2471429</v>
      </c>
      <c r="K160" s="1">
        <v>7.2890476</v>
      </c>
      <c r="L160" s="1">
        <v>3.0404762</v>
      </c>
      <c r="M160" s="1">
        <v>20828.0</v>
      </c>
      <c r="N160" s="1">
        <v>83.37773913740864</v>
      </c>
      <c r="O160" s="1">
        <v>87.324721</v>
      </c>
      <c r="P160" s="1">
        <v>86.548377</v>
      </c>
      <c r="Q160" s="1">
        <v>63.136242</v>
      </c>
      <c r="R160" s="1">
        <v>90.281895</v>
      </c>
      <c r="S160" s="1">
        <v>86.285795</v>
      </c>
      <c r="T160" s="1">
        <v>41.815451</v>
      </c>
      <c r="U160" s="1">
        <v>85.965058</v>
      </c>
      <c r="V160" s="1">
        <v>84.617719</v>
      </c>
      <c r="W160" s="1">
        <v>90.965659</v>
      </c>
      <c r="X160" s="1">
        <v>108.49782</v>
      </c>
      <c r="Y160" s="4"/>
    </row>
    <row r="161" ht="14.25" customHeight="1">
      <c r="A161" s="1" t="s">
        <v>184</v>
      </c>
      <c r="B161" s="2">
        <v>41379.0</v>
      </c>
      <c r="C161" s="3">
        <v>231.797</v>
      </c>
      <c r="D161" s="1">
        <v>97.5138636363636</v>
      </c>
      <c r="E161" s="1">
        <v>4.3620098</v>
      </c>
      <c r="F161" s="1">
        <v>4.8569388</v>
      </c>
      <c r="G161" s="1">
        <v>0.15</v>
      </c>
      <c r="H161" s="1">
        <v>-60.684509</v>
      </c>
      <c r="I161" s="1">
        <v>4.7081818</v>
      </c>
      <c r="J161" s="1">
        <v>6.0754545</v>
      </c>
      <c r="K161" s="1">
        <v>6.8918182</v>
      </c>
      <c r="L161" s="1">
        <v>2.98</v>
      </c>
      <c r="M161" s="1">
        <v>20828.0</v>
      </c>
      <c r="N161" s="1">
        <v>83.39441468523619</v>
      </c>
      <c r="O161" s="1">
        <v>87.412046</v>
      </c>
      <c r="P161" s="1">
        <v>86.937845</v>
      </c>
      <c r="Q161" s="1">
        <v>63.16781</v>
      </c>
      <c r="R161" s="1">
        <v>90.624967</v>
      </c>
      <c r="S161" s="1">
        <v>85.500594</v>
      </c>
      <c r="T161" s="1">
        <v>43.32917</v>
      </c>
      <c r="U161" s="1">
        <v>85.586811</v>
      </c>
      <c r="V161" s="1">
        <v>84.896957</v>
      </c>
      <c r="W161" s="1">
        <v>91.265846</v>
      </c>
      <c r="X161" s="1">
        <v>109.79979</v>
      </c>
      <c r="Y161" s="4"/>
    </row>
    <row r="162" ht="14.25" customHeight="1">
      <c r="A162" s="1" t="s">
        <v>185</v>
      </c>
      <c r="B162" s="2">
        <v>41409.0</v>
      </c>
      <c r="C162" s="3">
        <v>231.893</v>
      </c>
      <c r="D162" s="1">
        <v>98.873695652174</v>
      </c>
      <c r="E162" s="1">
        <v>4.3701127</v>
      </c>
      <c r="F162" s="1">
        <v>4.864661</v>
      </c>
      <c r="G162" s="1">
        <v>0.11</v>
      </c>
      <c r="H162" s="1">
        <v>-63.183208</v>
      </c>
      <c r="I162" s="1">
        <v>3.6882609</v>
      </c>
      <c r="J162" s="1">
        <v>5.5104348</v>
      </c>
      <c r="K162" s="1">
        <v>6.5343478</v>
      </c>
      <c r="L162" s="1">
        <v>1.8443478</v>
      </c>
      <c r="M162" s="1">
        <v>20828.0</v>
      </c>
      <c r="N162" s="1">
        <v>83.344378036425</v>
      </c>
      <c r="O162" s="1">
        <v>87.770435</v>
      </c>
      <c r="P162" s="1">
        <v>87.250821</v>
      </c>
      <c r="Q162" s="1">
        <v>63.180443</v>
      </c>
      <c r="R162" s="1">
        <v>90.951217</v>
      </c>
      <c r="S162" s="1">
        <v>85.201342</v>
      </c>
      <c r="T162" s="1">
        <v>44.013771</v>
      </c>
      <c r="U162" s="1">
        <v>85.133201</v>
      </c>
      <c r="V162" s="1">
        <v>84.964875</v>
      </c>
      <c r="W162" s="1">
        <v>91.475758</v>
      </c>
      <c r="X162" s="1">
        <v>109.17393</v>
      </c>
      <c r="Y162" s="4"/>
    </row>
    <row r="163" ht="14.25" customHeight="1">
      <c r="A163" s="1" t="s">
        <v>186</v>
      </c>
      <c r="B163" s="2">
        <v>41440.0</v>
      </c>
      <c r="C163" s="3">
        <v>232.445</v>
      </c>
      <c r="D163" s="1">
        <v>99.5639999999999</v>
      </c>
      <c r="E163" s="1">
        <v>4.365352</v>
      </c>
      <c r="F163" s="1">
        <v>4.8609684</v>
      </c>
      <c r="G163" s="1">
        <v>0.09</v>
      </c>
      <c r="H163" s="1">
        <v>-53.300992</v>
      </c>
      <c r="I163" s="1">
        <v>2.277</v>
      </c>
      <c r="J163" s="1">
        <v>4.589</v>
      </c>
      <c r="K163" s="1">
        <v>5.8145</v>
      </c>
      <c r="L163" s="1">
        <v>1.1075</v>
      </c>
      <c r="M163" s="1">
        <v>20845.0</v>
      </c>
      <c r="N163" s="1">
        <v>83.38605022544321</v>
      </c>
      <c r="O163" s="1">
        <v>88.051301</v>
      </c>
      <c r="P163" s="1">
        <v>87.617275</v>
      </c>
      <c r="Q163" s="1">
        <v>63.199397</v>
      </c>
      <c r="R163" s="1">
        <v>91.251356</v>
      </c>
      <c r="S163" s="1">
        <v>85.133181</v>
      </c>
      <c r="T163" s="1">
        <v>44.053383</v>
      </c>
      <c r="U163" s="1">
        <v>85.150228</v>
      </c>
      <c r="V163" s="1">
        <v>85.092322</v>
      </c>
      <c r="W163" s="1">
        <v>91.841661</v>
      </c>
      <c r="X163" s="1">
        <v>109.07567</v>
      </c>
      <c r="Y163" s="4"/>
    </row>
    <row r="164" ht="14.25" customHeight="1">
      <c r="A164" s="1" t="s">
        <v>187</v>
      </c>
      <c r="B164" s="2">
        <v>41470.0</v>
      </c>
      <c r="C164" s="3">
        <v>232.9</v>
      </c>
      <c r="D164" s="1">
        <v>106.10304347826</v>
      </c>
      <c r="E164" s="1">
        <v>4.3655488</v>
      </c>
      <c r="F164" s="1">
        <v>4.8629624</v>
      </c>
      <c r="G164" s="1">
        <v>0.09</v>
      </c>
      <c r="H164" s="1">
        <v>-35.585424</v>
      </c>
      <c r="I164" s="1">
        <v>4.0156522</v>
      </c>
      <c r="J164" s="1">
        <v>5.1082609</v>
      </c>
      <c r="K164" s="1">
        <v>5.803913</v>
      </c>
      <c r="L164" s="1">
        <v>3.1808696</v>
      </c>
      <c r="M164" s="1">
        <v>21036.0</v>
      </c>
      <c r="N164" s="1">
        <v>83.61119256105191</v>
      </c>
      <c r="O164" s="1">
        <v>88.30665</v>
      </c>
      <c r="P164" s="1">
        <v>87.836318</v>
      </c>
      <c r="Q164" s="1">
        <v>63.256277</v>
      </c>
      <c r="R164" s="1">
        <v>91.488609</v>
      </c>
      <c r="S164" s="1">
        <v>85.218314</v>
      </c>
      <c r="T164" s="1">
        <v>44.07541</v>
      </c>
      <c r="U164" s="1">
        <v>85.516374</v>
      </c>
      <c r="V164" s="1">
        <v>85.211452</v>
      </c>
      <c r="W164" s="1">
        <v>92.12637</v>
      </c>
      <c r="X164" s="1">
        <v>110.53729</v>
      </c>
      <c r="Y164" s="4"/>
    </row>
    <row r="165" ht="14.25" customHeight="1">
      <c r="A165" s="1" t="s">
        <v>188</v>
      </c>
      <c r="B165" s="2">
        <v>41501.0</v>
      </c>
      <c r="C165" s="3">
        <v>233.456</v>
      </c>
      <c r="D165" s="1">
        <v>108.746818181818</v>
      </c>
      <c r="E165" s="1">
        <v>4.3587276</v>
      </c>
      <c r="F165" s="1">
        <v>4.8616432</v>
      </c>
      <c r="G165" s="1">
        <v>0.08</v>
      </c>
      <c r="H165" s="1">
        <v>-38.828205</v>
      </c>
      <c r="I165" s="1">
        <v>4.9722727</v>
      </c>
      <c r="J165" s="1">
        <v>5.6081818</v>
      </c>
      <c r="K165" s="1">
        <v>5.9754545</v>
      </c>
      <c r="L165" s="1">
        <v>4.0486364</v>
      </c>
      <c r="M165" s="1">
        <v>21036.0</v>
      </c>
      <c r="N165" s="1">
        <v>84.30516545930864</v>
      </c>
      <c r="O165" s="1">
        <v>88.545078</v>
      </c>
      <c r="P165" s="1">
        <v>88.222798</v>
      </c>
      <c r="Q165" s="1">
        <v>63.825583</v>
      </c>
      <c r="R165" s="1">
        <v>91.689884</v>
      </c>
      <c r="S165" s="1">
        <v>85.678493</v>
      </c>
      <c r="T165" s="1">
        <v>45.886909</v>
      </c>
      <c r="U165" s="1">
        <v>86.268918</v>
      </c>
      <c r="V165" s="1">
        <v>85.509692</v>
      </c>
      <c r="W165" s="1">
        <v>92.375111</v>
      </c>
      <c r="X165" s="1">
        <v>111.76425</v>
      </c>
      <c r="Y165" s="4"/>
    </row>
    <row r="166" ht="14.25" customHeight="1">
      <c r="A166" s="1" t="s">
        <v>189</v>
      </c>
      <c r="B166" s="2">
        <v>41532.0</v>
      </c>
      <c r="C166" s="3">
        <v>233.544</v>
      </c>
      <c r="D166" s="1">
        <v>109.179047619047</v>
      </c>
      <c r="E166" s="1">
        <v>4.3568867</v>
      </c>
      <c r="F166" s="1">
        <v>4.8641722</v>
      </c>
      <c r="G166" s="1">
        <v>0.08</v>
      </c>
      <c r="H166" s="1">
        <v>4.7665702</v>
      </c>
      <c r="I166" s="1">
        <v>4.5085714</v>
      </c>
      <c r="J166" s="1">
        <v>5.3866667</v>
      </c>
      <c r="K166" s="1">
        <v>6.0380952</v>
      </c>
      <c r="L166" s="1">
        <v>2.7514286</v>
      </c>
      <c r="M166" s="1">
        <v>21036.0</v>
      </c>
      <c r="N166" s="1">
        <v>85.1988002131773</v>
      </c>
      <c r="O166" s="1">
        <v>88.739877</v>
      </c>
      <c r="P166" s="1">
        <v>88.478644</v>
      </c>
      <c r="Q166" s="1">
        <v>69.812423</v>
      </c>
      <c r="R166" s="1">
        <v>91.900771</v>
      </c>
      <c r="S166" s="1">
        <v>86.235403</v>
      </c>
      <c r="T166" s="1">
        <v>45.905264</v>
      </c>
      <c r="U166" s="1">
        <v>87.053965</v>
      </c>
      <c r="V166" s="1">
        <v>86.646971</v>
      </c>
      <c r="W166" s="1">
        <v>92.458249</v>
      </c>
      <c r="X166" s="1">
        <v>111.49602</v>
      </c>
      <c r="Y166" s="4"/>
    </row>
    <row r="167" ht="14.25" customHeight="1">
      <c r="A167" s="1" t="s">
        <v>190</v>
      </c>
      <c r="B167" s="2">
        <v>41562.0</v>
      </c>
      <c r="C167" s="3">
        <v>233.669</v>
      </c>
      <c r="D167" s="1">
        <v>105.087826086956</v>
      </c>
      <c r="E167" s="1">
        <v>4.3421996</v>
      </c>
      <c r="F167" s="1">
        <v>4.8541266</v>
      </c>
      <c r="G167" s="1">
        <v>0.09</v>
      </c>
      <c r="H167" s="1">
        <v>16.263146</v>
      </c>
      <c r="I167" s="1">
        <v>4.6326087</v>
      </c>
      <c r="J167" s="1">
        <v>5.4904348</v>
      </c>
      <c r="K167" s="1">
        <v>6.1530435</v>
      </c>
      <c r="L167" s="1">
        <v>3.2417391</v>
      </c>
      <c r="M167" s="1">
        <v>21036.0</v>
      </c>
      <c r="N167" s="1">
        <v>85.61627433422188</v>
      </c>
      <c r="O167" s="1">
        <v>88.846365</v>
      </c>
      <c r="P167" s="1">
        <v>88.788319</v>
      </c>
      <c r="Q167" s="1">
        <v>70.182429</v>
      </c>
      <c r="R167" s="1">
        <v>92.121333</v>
      </c>
      <c r="S167" s="1">
        <v>86.977028</v>
      </c>
      <c r="T167" s="1">
        <v>45.951169</v>
      </c>
      <c r="U167" s="1">
        <v>87.489235</v>
      </c>
      <c r="V167" s="1">
        <v>86.846259</v>
      </c>
      <c r="W167" s="1">
        <v>92.58769</v>
      </c>
      <c r="X167" s="1">
        <v>111.30648</v>
      </c>
      <c r="Y167" s="4"/>
    </row>
    <row r="168" ht="14.25" customHeight="1">
      <c r="A168" s="1" t="s">
        <v>191</v>
      </c>
      <c r="B168" s="2">
        <v>41593.0</v>
      </c>
      <c r="C168" s="3">
        <v>234.1</v>
      </c>
      <c r="D168" s="1">
        <v>101.000714285714</v>
      </c>
      <c r="E168" s="1">
        <v>4.351567</v>
      </c>
      <c r="F168" s="1">
        <v>4.8657719</v>
      </c>
      <c r="G168" s="1">
        <v>0.08</v>
      </c>
      <c r="H168" s="1">
        <v>-2.6569215</v>
      </c>
      <c r="I168" s="1">
        <v>5.007619</v>
      </c>
      <c r="J168" s="1">
        <v>5.832381</v>
      </c>
      <c r="K168" s="1">
        <v>6.2647619</v>
      </c>
      <c r="L168" s="1">
        <v>3.7909524</v>
      </c>
      <c r="M168" s="1">
        <v>21036.0</v>
      </c>
      <c r="N168" s="1">
        <v>85.90736966695827</v>
      </c>
      <c r="O168" s="1">
        <v>89.095134</v>
      </c>
      <c r="P168" s="1">
        <v>89.099078</v>
      </c>
      <c r="Q168" s="1">
        <v>70.252611</v>
      </c>
      <c r="R168" s="1">
        <v>92.342424</v>
      </c>
      <c r="S168" s="1">
        <v>87.516285</v>
      </c>
      <c r="T168" s="1">
        <v>45.983335</v>
      </c>
      <c r="U168" s="1">
        <v>87.847941</v>
      </c>
      <c r="V168" s="1">
        <v>87.002582</v>
      </c>
      <c r="W168" s="1">
        <v>92.680278</v>
      </c>
      <c r="X168" s="1">
        <v>110.92803</v>
      </c>
      <c r="Y168" s="4"/>
    </row>
    <row r="169" ht="14.25" customHeight="1">
      <c r="A169" s="1" t="s">
        <v>192</v>
      </c>
      <c r="B169" s="2">
        <v>41623.0</v>
      </c>
      <c r="C169" s="3">
        <v>234.719</v>
      </c>
      <c r="D169" s="1">
        <v>104.480454545454</v>
      </c>
      <c r="E169" s="1">
        <v>4.3554017</v>
      </c>
      <c r="F169" s="1">
        <v>4.873634</v>
      </c>
      <c r="G169" s="1">
        <v>0.09</v>
      </c>
      <c r="H169" s="1">
        <v>30.691896</v>
      </c>
      <c r="I169" s="1">
        <v>4.7854545</v>
      </c>
      <c r="J169" s="1">
        <v>5.8086364</v>
      </c>
      <c r="K169" s="1">
        <v>6.2981818</v>
      </c>
      <c r="L169" s="1">
        <v>3.0959091</v>
      </c>
      <c r="M169" s="1">
        <v>21036.0</v>
      </c>
      <c r="N169" s="1">
        <v>86.34549725225972</v>
      </c>
      <c r="O169" s="1">
        <v>89.335691</v>
      </c>
      <c r="P169" s="1">
        <v>89.606943</v>
      </c>
      <c r="Q169" s="1">
        <v>70.266662</v>
      </c>
      <c r="R169" s="1">
        <v>92.57328</v>
      </c>
      <c r="S169" s="1">
        <v>87.945115</v>
      </c>
      <c r="T169" s="1">
        <v>46.020122</v>
      </c>
      <c r="U169" s="1">
        <v>89.877228</v>
      </c>
      <c r="V169" s="1">
        <v>87.141786</v>
      </c>
      <c r="W169" s="1">
        <v>92.800762</v>
      </c>
      <c r="X169" s="1">
        <v>110.6729</v>
      </c>
      <c r="Y169" s="4"/>
    </row>
    <row r="170" ht="14.25" customHeight="1">
      <c r="A170" s="1" t="s">
        <v>193</v>
      </c>
      <c r="B170" s="2">
        <v>41654.0</v>
      </c>
      <c r="C170" s="3">
        <v>235.288</v>
      </c>
      <c r="D170" s="1">
        <v>101.444999999999</v>
      </c>
      <c r="E170" s="1">
        <v>4.3628633</v>
      </c>
      <c r="F170" s="1">
        <v>4.8836375</v>
      </c>
      <c r="G170" s="1">
        <v>0.07</v>
      </c>
      <c r="H170" s="1">
        <v>-8.5388646</v>
      </c>
      <c r="I170" s="1">
        <v>5.3382609</v>
      </c>
      <c r="J170" s="1">
        <v>5.9713043</v>
      </c>
      <c r="K170" s="1">
        <v>6.3495652</v>
      </c>
      <c r="L170" s="1">
        <v>4.5517391</v>
      </c>
      <c r="M170" s="1">
        <v>21036.0</v>
      </c>
      <c r="N170" s="1">
        <v>86.94128118330032</v>
      </c>
      <c r="O170" s="1">
        <v>90.077178</v>
      </c>
      <c r="P170" s="1">
        <v>90.404445</v>
      </c>
      <c r="Q170" s="1">
        <v>70.273689</v>
      </c>
      <c r="R170" s="1">
        <v>92.934316</v>
      </c>
      <c r="S170" s="1">
        <v>88.622293</v>
      </c>
      <c r="T170" s="1">
        <v>46.098356</v>
      </c>
      <c r="U170" s="1">
        <v>90.793976</v>
      </c>
      <c r="V170" s="1">
        <v>87.690779</v>
      </c>
      <c r="W170" s="1">
        <v>92.995644</v>
      </c>
      <c r="X170" s="1">
        <v>112.02311</v>
      </c>
      <c r="Y170" s="4"/>
    </row>
    <row r="171" ht="14.25" customHeight="1">
      <c r="A171" s="1" t="s">
        <v>194</v>
      </c>
      <c r="B171" s="2">
        <v>41685.0</v>
      </c>
      <c r="C171" s="3">
        <v>235.547</v>
      </c>
      <c r="D171" s="1">
        <v>104.7715</v>
      </c>
      <c r="E171" s="1">
        <v>4.3601693</v>
      </c>
      <c r="F171" s="1">
        <v>4.8801328</v>
      </c>
      <c r="G171" s="1">
        <v>0.07</v>
      </c>
      <c r="H171" s="1">
        <v>-34.084427</v>
      </c>
      <c r="I171" s="1">
        <v>4.2225</v>
      </c>
      <c r="J171" s="1">
        <v>5.2895</v>
      </c>
      <c r="K171" s="1">
        <v>5.9485</v>
      </c>
      <c r="L171" s="1">
        <v>2.711</v>
      </c>
      <c r="M171" s="1">
        <v>21036.0</v>
      </c>
      <c r="N171" s="1">
        <v>87.41945822980848</v>
      </c>
      <c r="O171" s="1">
        <v>90.617641</v>
      </c>
      <c r="P171" s="1">
        <v>90.594294</v>
      </c>
      <c r="Q171" s="1">
        <v>70.280716</v>
      </c>
      <c r="R171" s="1">
        <v>93.138771</v>
      </c>
      <c r="S171" s="1">
        <v>89.641449</v>
      </c>
      <c r="T171" s="1">
        <v>46.121405</v>
      </c>
      <c r="U171" s="1">
        <v>90.212895</v>
      </c>
      <c r="V171" s="1">
        <v>88.173078</v>
      </c>
      <c r="W171" s="1">
        <v>93.562917</v>
      </c>
      <c r="X171" s="1">
        <v>112.76246</v>
      </c>
      <c r="Y171" s="4"/>
    </row>
    <row r="172" ht="14.25" customHeight="1">
      <c r="A172" s="1" t="s">
        <v>195</v>
      </c>
      <c r="B172" s="2">
        <v>41713.0</v>
      </c>
      <c r="C172" s="3">
        <v>236.028</v>
      </c>
      <c r="D172" s="1">
        <v>104.218095238095</v>
      </c>
      <c r="E172" s="1">
        <v>4.3549558</v>
      </c>
      <c r="F172" s="1">
        <v>4.8745453</v>
      </c>
      <c r="G172" s="1">
        <v>0.08</v>
      </c>
      <c r="H172" s="1">
        <v>-7.7295738</v>
      </c>
      <c r="I172" s="1">
        <v>3.2180952</v>
      </c>
      <c r="J172" s="1">
        <v>4.632381</v>
      </c>
      <c r="K172" s="1">
        <v>5.4252381</v>
      </c>
      <c r="L172" s="1">
        <v>2.0861905</v>
      </c>
      <c r="M172" s="1">
        <v>21036.0</v>
      </c>
      <c r="N172" s="1">
        <v>87.03481261359727</v>
      </c>
      <c r="O172" s="1">
        <v>90.835123</v>
      </c>
      <c r="P172" s="1">
        <v>90.639591</v>
      </c>
      <c r="Q172" s="1">
        <v>70.3018</v>
      </c>
      <c r="R172" s="1">
        <v>93.287793</v>
      </c>
      <c r="S172" s="1">
        <v>88.780891</v>
      </c>
      <c r="T172" s="1">
        <v>46.15369</v>
      </c>
      <c r="U172" s="1">
        <v>89.545319</v>
      </c>
      <c r="V172" s="1">
        <v>88.375877</v>
      </c>
      <c r="W172" s="1">
        <v>93.65648</v>
      </c>
      <c r="X172" s="1">
        <v>112.72863</v>
      </c>
      <c r="Y172" s="4"/>
    </row>
    <row r="173" ht="14.25" customHeight="1">
      <c r="A173" s="1" t="s">
        <v>196</v>
      </c>
      <c r="B173" s="2">
        <v>41744.0</v>
      </c>
      <c r="C173" s="3">
        <v>236.468</v>
      </c>
      <c r="D173" s="1">
        <v>105.089318181818</v>
      </c>
      <c r="E173" s="1">
        <v>4.3515691</v>
      </c>
      <c r="F173" s="1">
        <v>4.8696431</v>
      </c>
      <c r="G173" s="1">
        <v>0.09</v>
      </c>
      <c r="H173" s="1">
        <v>-42.799606</v>
      </c>
      <c r="I173" s="1">
        <v>3.3859091</v>
      </c>
      <c r="J173" s="1">
        <v>4.4159091</v>
      </c>
      <c r="K173" s="1">
        <v>5.105</v>
      </c>
      <c r="L173" s="1">
        <v>2.3936364</v>
      </c>
      <c r="M173" s="1">
        <v>21036.0</v>
      </c>
      <c r="N173" s="1">
        <v>87.1044404636882</v>
      </c>
      <c r="O173" s="1">
        <v>91.044044</v>
      </c>
      <c r="P173" s="1">
        <v>90.875254</v>
      </c>
      <c r="Q173" s="1">
        <v>70.343981</v>
      </c>
      <c r="R173" s="1">
        <v>93.511684</v>
      </c>
      <c r="S173" s="1">
        <v>88.914062</v>
      </c>
      <c r="T173" s="1">
        <v>46.172152</v>
      </c>
      <c r="U173" s="1">
        <v>89.043865</v>
      </c>
      <c r="V173" s="1">
        <v>88.455415</v>
      </c>
      <c r="W173" s="1">
        <v>93.675211</v>
      </c>
      <c r="X173" s="1">
        <v>113.10064</v>
      </c>
      <c r="Y173" s="4"/>
    </row>
    <row r="174" ht="14.25" customHeight="1">
      <c r="A174" s="1" t="s">
        <v>197</v>
      </c>
      <c r="B174" s="2">
        <v>41774.0</v>
      </c>
      <c r="C174" s="3">
        <v>236.918</v>
      </c>
      <c r="D174" s="1">
        <v>105.914318181818</v>
      </c>
      <c r="E174" s="1">
        <v>4.3494935</v>
      </c>
      <c r="F174" s="1">
        <v>4.8692536</v>
      </c>
      <c r="G174" s="1">
        <v>0.09</v>
      </c>
      <c r="H174" s="1">
        <v>-48.118801</v>
      </c>
      <c r="I174" s="1">
        <v>4.0518182</v>
      </c>
      <c r="J174" s="1">
        <v>4.6240909</v>
      </c>
      <c r="K174" s="1">
        <v>5.2422727</v>
      </c>
      <c r="L174" s="1">
        <v>3.1481818</v>
      </c>
      <c r="M174" s="1">
        <v>21036.0</v>
      </c>
      <c r="N174" s="1">
        <v>87.27864934461557</v>
      </c>
      <c r="O174" s="1">
        <v>91.162401</v>
      </c>
      <c r="P174" s="1">
        <v>91.057005</v>
      </c>
      <c r="Q174" s="1">
        <v>70.351016</v>
      </c>
      <c r="R174" s="1">
        <v>93.745463</v>
      </c>
      <c r="S174" s="1">
        <v>89.065216</v>
      </c>
      <c r="T174" s="1">
        <v>46.199855</v>
      </c>
      <c r="U174" s="1">
        <v>89.426754</v>
      </c>
      <c r="V174" s="1">
        <v>88.650017</v>
      </c>
      <c r="W174" s="1">
        <v>93.918767</v>
      </c>
      <c r="X174" s="1">
        <v>113.5078</v>
      </c>
      <c r="Y174" s="4"/>
    </row>
    <row r="175" ht="14.25" customHeight="1">
      <c r="A175" s="1" t="s">
        <v>198</v>
      </c>
      <c r="B175" s="2">
        <v>41805.0</v>
      </c>
      <c r="C175" s="3">
        <v>237.231</v>
      </c>
      <c r="D175" s="1">
        <v>108.737857142857</v>
      </c>
      <c r="E175" s="1">
        <v>4.3485633</v>
      </c>
      <c r="F175" s="1">
        <v>4.8708986</v>
      </c>
      <c r="G175" s="1">
        <v>0.1</v>
      </c>
      <c r="H175" s="1">
        <v>-56.485906</v>
      </c>
      <c r="I175" s="1">
        <v>3.4761905</v>
      </c>
      <c r="J175" s="1">
        <v>4.3928571</v>
      </c>
      <c r="K175" s="1">
        <v>5.1138095</v>
      </c>
      <c r="L175" s="1">
        <v>2.3804762</v>
      </c>
      <c r="M175" s="1">
        <v>21120.0</v>
      </c>
      <c r="N175" s="1">
        <v>87.5404852926494</v>
      </c>
      <c r="O175" s="1">
        <v>91.435888</v>
      </c>
      <c r="P175" s="1">
        <v>91.25733</v>
      </c>
      <c r="Q175" s="1">
        <v>70.358051</v>
      </c>
      <c r="R175" s="1">
        <v>93.932954</v>
      </c>
      <c r="S175" s="1">
        <v>89.314599</v>
      </c>
      <c r="T175" s="1">
        <v>46.541734</v>
      </c>
      <c r="U175" s="1">
        <v>89.972257</v>
      </c>
      <c r="V175" s="1">
        <v>88.853912</v>
      </c>
      <c r="W175" s="1">
        <v>94.172348</v>
      </c>
      <c r="X175" s="1">
        <v>113.71211</v>
      </c>
      <c r="Y175" s="4"/>
    </row>
    <row r="176" ht="14.25" customHeight="1">
      <c r="A176" s="1" t="s">
        <v>199</v>
      </c>
      <c r="B176" s="2">
        <v>41835.0</v>
      </c>
      <c r="C176" s="3">
        <v>237.498</v>
      </c>
      <c r="D176" s="1">
        <v>105.205434782608</v>
      </c>
      <c r="E176" s="1">
        <v>4.3442003</v>
      </c>
      <c r="F176" s="1">
        <v>4.8691166</v>
      </c>
      <c r="G176" s="1">
        <v>0.09</v>
      </c>
      <c r="H176" s="1">
        <v>-70.045326</v>
      </c>
      <c r="I176" s="1">
        <v>3.48</v>
      </c>
      <c r="J176" s="1">
        <v>4.2930435</v>
      </c>
      <c r="K176" s="1">
        <v>4.9417391</v>
      </c>
      <c r="L176" s="1">
        <v>2.6986957</v>
      </c>
      <c r="M176" s="1">
        <v>21246.0</v>
      </c>
      <c r="N176" s="1">
        <v>87.74182840882246</v>
      </c>
      <c r="O176" s="1">
        <v>91.61876</v>
      </c>
      <c r="P176" s="1">
        <v>91.439845</v>
      </c>
      <c r="Q176" s="1">
        <v>70.379158</v>
      </c>
      <c r="R176" s="1">
        <v>94.045674</v>
      </c>
      <c r="S176" s="1">
        <v>89.546817</v>
      </c>
      <c r="T176" s="1">
        <v>46.565005</v>
      </c>
      <c r="U176" s="1">
        <v>90.359138</v>
      </c>
      <c r="V176" s="1">
        <v>89.067161</v>
      </c>
      <c r="W176" s="1">
        <v>94.210017</v>
      </c>
      <c r="X176" s="1">
        <v>114.21245</v>
      </c>
      <c r="Y176" s="4"/>
    </row>
    <row r="177" ht="14.25" customHeight="1">
      <c r="A177" s="1" t="s">
        <v>200</v>
      </c>
      <c r="B177" s="2">
        <v>41866.0</v>
      </c>
      <c r="C177" s="3">
        <v>237.46</v>
      </c>
      <c r="D177" s="1">
        <v>99.3595238095239</v>
      </c>
      <c r="E177" s="1">
        <v>4.3518023</v>
      </c>
      <c r="F177" s="1">
        <v>4.8766329</v>
      </c>
      <c r="G177" s="1">
        <v>0.09</v>
      </c>
      <c r="H177" s="1">
        <v>-53.49083</v>
      </c>
      <c r="I177" s="1">
        <v>3.8652381</v>
      </c>
      <c r="J177" s="1">
        <v>4.2652381</v>
      </c>
      <c r="K177" s="1">
        <v>4.8385714</v>
      </c>
      <c r="L177" s="1">
        <v>3.5042857</v>
      </c>
      <c r="M177" s="1">
        <v>21246.0</v>
      </c>
      <c r="N177" s="1">
        <v>87.93486043132195</v>
      </c>
      <c r="O177" s="1">
        <v>91.737864</v>
      </c>
      <c r="P177" s="1">
        <v>91.732452</v>
      </c>
      <c r="Q177" s="1">
        <v>70.533992</v>
      </c>
      <c r="R177" s="1">
        <v>94.130315</v>
      </c>
      <c r="S177" s="1">
        <v>89.949778</v>
      </c>
      <c r="T177" s="1">
        <v>46.667448</v>
      </c>
      <c r="U177" s="1">
        <v>90.079025</v>
      </c>
      <c r="V177" s="1">
        <v>89.227482</v>
      </c>
      <c r="W177" s="1">
        <v>94.266543</v>
      </c>
      <c r="X177" s="1">
        <v>114.14392</v>
      </c>
      <c r="Y177" s="4"/>
    </row>
    <row r="178" ht="14.25" customHeight="1">
      <c r="A178" s="1" t="s">
        <v>201</v>
      </c>
      <c r="B178" s="2">
        <v>41897.0</v>
      </c>
      <c r="C178" s="3">
        <v>237.477</v>
      </c>
      <c r="D178" s="1">
        <v>95.5622727272727</v>
      </c>
      <c r="E178" s="1">
        <v>4.3728514</v>
      </c>
      <c r="F178" s="1">
        <v>4.8982521</v>
      </c>
      <c r="G178" s="1">
        <v>0.09</v>
      </c>
      <c r="H178" s="1">
        <v>-35.260605</v>
      </c>
      <c r="I178" s="1">
        <v>3.3072727</v>
      </c>
      <c r="J178" s="1">
        <v>4.0259091</v>
      </c>
      <c r="K178" s="1">
        <v>4.6863636</v>
      </c>
      <c r="L178" s="1">
        <v>2.2268182</v>
      </c>
      <c r="M178" s="1">
        <v>21246.0</v>
      </c>
      <c r="N178" s="1">
        <v>88.28659987304725</v>
      </c>
      <c r="O178" s="1">
        <v>91.811255</v>
      </c>
      <c r="P178" s="1">
        <v>92.025996</v>
      </c>
      <c r="Q178" s="1">
        <v>75.034061</v>
      </c>
      <c r="R178" s="1">
        <v>94.327988</v>
      </c>
      <c r="S178" s="1">
        <v>90.147667</v>
      </c>
      <c r="T178" s="1">
        <v>46.774783</v>
      </c>
      <c r="U178" s="1">
        <v>89.736724</v>
      </c>
      <c r="V178" s="1">
        <v>89.334555</v>
      </c>
      <c r="W178" s="1">
        <v>94.351382</v>
      </c>
      <c r="X178" s="1">
        <v>112.03226</v>
      </c>
      <c r="Y178" s="4"/>
    </row>
    <row r="179" ht="14.25" customHeight="1">
      <c r="A179" s="1" t="s">
        <v>202</v>
      </c>
      <c r="B179" s="2">
        <v>41927.0</v>
      </c>
      <c r="C179" s="3">
        <v>237.43</v>
      </c>
      <c r="D179" s="1">
        <v>85.9954347826087</v>
      </c>
      <c r="E179" s="1">
        <v>4.3862882</v>
      </c>
      <c r="F179" s="1">
        <v>4.912021</v>
      </c>
      <c r="G179" s="1">
        <v>0.09</v>
      </c>
      <c r="H179" s="1">
        <v>-37.034177</v>
      </c>
      <c r="I179" s="1">
        <v>3.1491304</v>
      </c>
      <c r="J179" s="1">
        <v>3.7652174</v>
      </c>
      <c r="K179" s="1">
        <v>4.3030435</v>
      </c>
      <c r="L179" s="1">
        <v>2.3695652</v>
      </c>
      <c r="M179" s="1">
        <v>21246.0</v>
      </c>
      <c r="N179" s="1">
        <v>88.38371513290745</v>
      </c>
      <c r="O179" s="1">
        <v>91.866341</v>
      </c>
      <c r="P179" s="1">
        <v>92.200845</v>
      </c>
      <c r="Q179" s="1">
        <v>76.017007</v>
      </c>
      <c r="R179" s="1">
        <v>94.53551</v>
      </c>
      <c r="S179" s="1">
        <v>90.192741</v>
      </c>
      <c r="T179" s="1">
        <v>47.022689</v>
      </c>
      <c r="U179" s="1">
        <v>89.664935</v>
      </c>
      <c r="V179" s="1">
        <v>89.486424</v>
      </c>
      <c r="W179" s="1">
        <v>94.370253</v>
      </c>
      <c r="X179" s="1">
        <v>110.88953</v>
      </c>
      <c r="Y179" s="4"/>
    </row>
    <row r="180" ht="14.25" customHeight="1">
      <c r="A180" s="1" t="s">
        <v>203</v>
      </c>
      <c r="B180" s="2">
        <v>41958.0</v>
      </c>
      <c r="C180" s="3">
        <v>236.983</v>
      </c>
      <c r="D180" s="1">
        <v>77.4685</v>
      </c>
      <c r="E180" s="1">
        <v>4.4106507</v>
      </c>
      <c r="F180" s="1">
        <v>4.9342957</v>
      </c>
      <c r="G180" s="1">
        <v>0.09</v>
      </c>
      <c r="H180" s="1">
        <v>-17.619475</v>
      </c>
      <c r="I180" s="1">
        <v>3.512</v>
      </c>
      <c r="J180" s="1">
        <v>3.876</v>
      </c>
      <c r="K180" s="1">
        <v>4.353</v>
      </c>
      <c r="L180" s="1">
        <v>3.095</v>
      </c>
      <c r="M180" s="1">
        <v>21246.0</v>
      </c>
      <c r="N180" s="1">
        <v>88.14507910204875</v>
      </c>
      <c r="O180" s="1">
        <v>91.976581</v>
      </c>
      <c r="P180" s="1">
        <v>92.514328</v>
      </c>
      <c r="Q180" s="1">
        <v>76.039812</v>
      </c>
      <c r="R180" s="1">
        <v>94.686767</v>
      </c>
      <c r="S180" s="1">
        <v>90.165683</v>
      </c>
      <c r="T180" s="1">
        <v>47.041498</v>
      </c>
      <c r="U180" s="1">
        <v>89.001414</v>
      </c>
      <c r="V180" s="1">
        <v>89.683294</v>
      </c>
      <c r="W180" s="1">
        <v>94.464623</v>
      </c>
      <c r="X180" s="1">
        <v>107.84007</v>
      </c>
      <c r="Y180" s="4"/>
    </row>
    <row r="181" ht="14.25" customHeight="1">
      <c r="A181" s="1" t="s">
        <v>204</v>
      </c>
      <c r="B181" s="2">
        <v>41988.0</v>
      </c>
      <c r="C181" s="3">
        <v>236.252</v>
      </c>
      <c r="D181" s="1">
        <v>61.0217391304348</v>
      </c>
      <c r="E181" s="1">
        <v>4.4274158</v>
      </c>
      <c r="F181" s="1">
        <v>4.9499656</v>
      </c>
      <c r="G181" s="1">
        <v>0.12</v>
      </c>
      <c r="H181" s="1">
        <v>-55.29899</v>
      </c>
      <c r="I181" s="1">
        <v>4.1086957</v>
      </c>
      <c r="J181" s="1">
        <v>4.5182609</v>
      </c>
      <c r="K181" s="1">
        <v>4.7126087</v>
      </c>
      <c r="L181" s="1">
        <v>3.4608696</v>
      </c>
      <c r="M181" s="1">
        <v>21246.0</v>
      </c>
      <c r="N181" s="1">
        <v>87.93353091220384</v>
      </c>
      <c r="O181" s="1">
        <v>92.142139</v>
      </c>
      <c r="P181" s="1">
        <v>92.986151</v>
      </c>
      <c r="Q181" s="1">
        <v>76.062624</v>
      </c>
      <c r="R181" s="1">
        <v>94.857203</v>
      </c>
      <c r="S181" s="1">
        <v>90.237816</v>
      </c>
      <c r="T181" s="1">
        <v>47.055611</v>
      </c>
      <c r="U181" s="1">
        <v>88.1203</v>
      </c>
      <c r="V181" s="1">
        <v>89.988217</v>
      </c>
      <c r="W181" s="1">
        <v>94.530748</v>
      </c>
      <c r="X181" s="1">
        <v>104.50781</v>
      </c>
      <c r="Y181" s="4"/>
    </row>
    <row r="182" ht="14.25" customHeight="1">
      <c r="A182" s="1" t="s">
        <v>205</v>
      </c>
      <c r="B182" s="2">
        <v>42019.0</v>
      </c>
      <c r="C182" s="3">
        <v>234.747</v>
      </c>
      <c r="D182" s="1">
        <v>48.2452272727272</v>
      </c>
      <c r="E182" s="1">
        <v>4.4387766</v>
      </c>
      <c r="F182" s="1">
        <v>4.9611829</v>
      </c>
      <c r="G182" s="1">
        <v>0.11</v>
      </c>
      <c r="H182" s="1">
        <v>-77.153425</v>
      </c>
      <c r="I182" s="1">
        <v>4.4313636</v>
      </c>
      <c r="J182" s="1">
        <v>4.71</v>
      </c>
      <c r="K182" s="1">
        <v>4.8213636</v>
      </c>
      <c r="L182" s="1">
        <v>3.7013636</v>
      </c>
      <c r="M182" s="1">
        <v>21436.0</v>
      </c>
      <c r="N182" s="1">
        <v>87.75766385037936</v>
      </c>
      <c r="O182" s="1">
        <v>92.483065</v>
      </c>
      <c r="P182" s="1">
        <v>93.460381</v>
      </c>
      <c r="Q182" s="1">
        <v>76.123474</v>
      </c>
      <c r="R182" s="1">
        <v>95.027946</v>
      </c>
      <c r="S182" s="1">
        <v>90.490481</v>
      </c>
      <c r="T182" s="1">
        <v>47.192072</v>
      </c>
      <c r="U182" s="1">
        <v>87.159789</v>
      </c>
      <c r="V182" s="1">
        <v>90.465155</v>
      </c>
      <c r="W182" s="1">
        <v>94.653638</v>
      </c>
      <c r="X182" s="1">
        <v>100.3693</v>
      </c>
      <c r="Y182" s="4"/>
    </row>
    <row r="183" ht="14.25" customHeight="1">
      <c r="A183" s="1" t="s">
        <v>206</v>
      </c>
      <c r="B183" s="2">
        <v>42050.0</v>
      </c>
      <c r="C183" s="3">
        <v>235.342</v>
      </c>
      <c r="D183" s="1">
        <v>54.5555</v>
      </c>
      <c r="E183" s="1">
        <v>4.4470317</v>
      </c>
      <c r="F183" s="1">
        <v>4.96204</v>
      </c>
      <c r="G183" s="1">
        <v>0.11</v>
      </c>
      <c r="H183" s="1">
        <v>-106.83948</v>
      </c>
      <c r="I183" s="1">
        <v>4.934</v>
      </c>
      <c r="J183" s="1">
        <v>4.905</v>
      </c>
      <c r="K183" s="1">
        <v>4.9325</v>
      </c>
      <c r="L183" s="1">
        <v>4.8055</v>
      </c>
      <c r="M183" s="1">
        <v>21458.0</v>
      </c>
      <c r="N183" s="1">
        <v>87.71378501845423</v>
      </c>
      <c r="O183" s="1">
        <v>93.00097</v>
      </c>
      <c r="P183" s="1">
        <v>93.880952</v>
      </c>
      <c r="Q183" s="1">
        <v>76.146311</v>
      </c>
      <c r="R183" s="1">
        <v>95.322532</v>
      </c>
      <c r="S183" s="1">
        <v>90.970081</v>
      </c>
      <c r="T183" s="1">
        <v>47.210949</v>
      </c>
      <c r="U183" s="1">
        <v>86.802434</v>
      </c>
      <c r="V183" s="1">
        <v>91.134597</v>
      </c>
      <c r="W183" s="1">
        <v>94.700965</v>
      </c>
      <c r="X183" s="1">
        <v>95.943012</v>
      </c>
      <c r="Y183" s="4"/>
    </row>
    <row r="184" ht="14.25" customHeight="1">
      <c r="A184" s="1" t="s">
        <v>207</v>
      </c>
      <c r="B184" s="2">
        <v>42078.0</v>
      </c>
      <c r="C184" s="3">
        <v>235.976</v>
      </c>
      <c r="D184" s="1">
        <v>52.153409090909</v>
      </c>
      <c r="E184" s="1">
        <v>4.4679612</v>
      </c>
      <c r="F184" s="1">
        <v>4.9868942</v>
      </c>
      <c r="G184" s="1">
        <v>0.11</v>
      </c>
      <c r="H184" s="1">
        <v>-100.38661</v>
      </c>
      <c r="I184" s="1">
        <v>4.5340909</v>
      </c>
      <c r="J184" s="1">
        <v>4.61</v>
      </c>
      <c r="K184" s="1">
        <v>4.7504545</v>
      </c>
      <c r="L184" s="1">
        <v>4.1613636</v>
      </c>
      <c r="M184" s="1">
        <v>21458.0</v>
      </c>
      <c r="N184" s="1">
        <v>87.84535569598187</v>
      </c>
      <c r="O184" s="1">
        <v>92.898669</v>
      </c>
      <c r="P184" s="1">
        <v>93.8434</v>
      </c>
      <c r="Q184" s="1">
        <v>76.153926</v>
      </c>
      <c r="R184" s="1">
        <v>95.408323</v>
      </c>
      <c r="S184" s="1">
        <v>91.297573</v>
      </c>
      <c r="T184" s="1">
        <v>47.229833</v>
      </c>
      <c r="U184" s="1">
        <v>86.941318</v>
      </c>
      <c r="V184" s="1">
        <v>91.125483</v>
      </c>
      <c r="W184" s="1">
        <v>94.871427</v>
      </c>
      <c r="X184" s="1">
        <v>95.645588</v>
      </c>
      <c r="Y184" s="4"/>
    </row>
    <row r="185" ht="14.25" customHeight="1">
      <c r="A185" s="1" t="s">
        <v>208</v>
      </c>
      <c r="B185" s="2">
        <v>42109.0</v>
      </c>
      <c r="C185" s="3">
        <v>236.222</v>
      </c>
      <c r="D185" s="1">
        <v>57.1025</v>
      </c>
      <c r="E185" s="1">
        <v>4.462516</v>
      </c>
      <c r="F185" s="1">
        <v>4.9833643</v>
      </c>
      <c r="G185" s="1">
        <v>0.12</v>
      </c>
      <c r="H185" s="1">
        <v>-97.688092</v>
      </c>
      <c r="I185" s="1">
        <v>4.8063636</v>
      </c>
      <c r="J185" s="1">
        <v>4.9090909</v>
      </c>
      <c r="K185" s="1">
        <v>5.0159091</v>
      </c>
      <c r="L185" s="1">
        <v>4.2177273</v>
      </c>
      <c r="M185" s="1">
        <v>21458.0</v>
      </c>
      <c r="N185" s="1">
        <v>87.96833919395625</v>
      </c>
      <c r="O185" s="1">
        <v>92.889379</v>
      </c>
      <c r="P185" s="1">
        <v>93.974781</v>
      </c>
      <c r="Q185" s="1">
        <v>76.161541</v>
      </c>
      <c r="R185" s="1">
        <v>95.560976</v>
      </c>
      <c r="S185" s="1">
        <v>90.914124</v>
      </c>
      <c r="T185" s="1">
        <v>47.31957</v>
      </c>
      <c r="U185" s="1">
        <v>87.671625</v>
      </c>
      <c r="V185" s="1">
        <v>91.271284</v>
      </c>
      <c r="W185" s="1">
        <v>95.175015</v>
      </c>
      <c r="X185" s="1">
        <v>98.008035</v>
      </c>
      <c r="Y185" s="4"/>
    </row>
    <row r="186" ht="14.25" customHeight="1">
      <c r="A186" s="1" t="s">
        <v>209</v>
      </c>
      <c r="B186" s="2">
        <v>42139.0</v>
      </c>
      <c r="C186" s="3">
        <v>237.001</v>
      </c>
      <c r="D186" s="1">
        <v>62.2911904761904</v>
      </c>
      <c r="E186" s="1">
        <v>4.4416416</v>
      </c>
      <c r="F186" s="1">
        <v>4.9624379</v>
      </c>
      <c r="G186" s="1">
        <v>0.12</v>
      </c>
      <c r="H186" s="1">
        <v>-96.901641</v>
      </c>
      <c r="I186" s="1">
        <v>4.3195238</v>
      </c>
      <c r="J186" s="1">
        <v>4.7371429</v>
      </c>
      <c r="K186" s="1">
        <v>4.9942857</v>
      </c>
      <c r="L186" s="1">
        <v>3.1019048</v>
      </c>
      <c r="M186" s="1">
        <v>21673.0</v>
      </c>
      <c r="N186" s="1">
        <v>88.10908853666662</v>
      </c>
      <c r="O186" s="1">
        <v>93.075158</v>
      </c>
      <c r="P186" s="1">
        <v>94.106345</v>
      </c>
      <c r="Q186" s="1">
        <v>76.161541</v>
      </c>
      <c r="R186" s="1">
        <v>95.685205</v>
      </c>
      <c r="S186" s="1">
        <v>90.714112</v>
      </c>
      <c r="T186" s="1">
        <v>47.333766</v>
      </c>
      <c r="U186" s="1">
        <v>88.785055</v>
      </c>
      <c r="V186" s="1">
        <v>91.426445</v>
      </c>
      <c r="W186" s="1">
        <v>95.546198</v>
      </c>
      <c r="X186" s="1">
        <v>99.007716</v>
      </c>
      <c r="Y186" s="4"/>
    </row>
    <row r="187" ht="14.25" customHeight="1">
      <c r="A187" s="1" t="s">
        <v>210</v>
      </c>
      <c r="B187" s="2">
        <v>42170.0</v>
      </c>
      <c r="C187" s="3">
        <v>237.657</v>
      </c>
      <c r="D187" s="1">
        <v>61.2243181818182</v>
      </c>
      <c r="E187" s="1">
        <v>4.4500151</v>
      </c>
      <c r="F187" s="1">
        <v>4.9730386</v>
      </c>
      <c r="G187" s="1">
        <v>0.13</v>
      </c>
      <c r="H187" s="1">
        <v>-81.233408</v>
      </c>
      <c r="I187" s="1">
        <v>4.3686364</v>
      </c>
      <c r="J187" s="1">
        <v>4.6722727</v>
      </c>
      <c r="K187" s="1">
        <v>4.9813636</v>
      </c>
      <c r="L187" s="1">
        <v>3.3481818</v>
      </c>
      <c r="M187" s="1">
        <v>21673.0</v>
      </c>
      <c r="N187" s="1">
        <v>88.41747034654483</v>
      </c>
      <c r="O187" s="1">
        <v>93.298538</v>
      </c>
      <c r="P187" s="1">
        <v>94.266326</v>
      </c>
      <c r="Q187" s="1">
        <v>76.161541</v>
      </c>
      <c r="R187" s="1">
        <v>95.800028</v>
      </c>
      <c r="S187" s="1">
        <v>90.686898</v>
      </c>
      <c r="T187" s="1">
        <v>47.513634</v>
      </c>
      <c r="U187" s="1">
        <v>89.05141</v>
      </c>
      <c r="V187" s="1">
        <v>91.536157</v>
      </c>
      <c r="W187" s="1">
        <v>95.794618</v>
      </c>
      <c r="X187" s="1">
        <v>102.51259</v>
      </c>
      <c r="Y187" s="4"/>
    </row>
    <row r="188" ht="14.25" customHeight="1">
      <c r="A188" s="1" t="s">
        <v>211</v>
      </c>
      <c r="B188" s="2">
        <v>42200.0</v>
      </c>
      <c r="C188" s="3">
        <v>238.034</v>
      </c>
      <c r="D188" s="1">
        <v>54.0141304347826</v>
      </c>
      <c r="E188" s="1">
        <v>4.4573799</v>
      </c>
      <c r="F188" s="1">
        <v>4.9825872</v>
      </c>
      <c r="G188" s="1">
        <v>0.13</v>
      </c>
      <c r="H188" s="1">
        <v>-47.919299</v>
      </c>
      <c r="I188" s="1">
        <v>3.933913</v>
      </c>
      <c r="J188" s="1">
        <v>4.3865217</v>
      </c>
      <c r="K188" s="1">
        <v>4.8517391</v>
      </c>
      <c r="L188" s="1">
        <v>2.6391304</v>
      </c>
      <c r="M188" s="1">
        <v>21764.81</v>
      </c>
      <c r="N188" s="1">
        <v>88.53241305799553</v>
      </c>
      <c r="O188" s="1">
        <v>93.466476</v>
      </c>
      <c r="P188" s="1">
        <v>94.501992</v>
      </c>
      <c r="Q188" s="1">
        <v>76.169158</v>
      </c>
      <c r="R188" s="1">
        <v>95.934148</v>
      </c>
      <c r="S188" s="1">
        <v>90.777585</v>
      </c>
      <c r="T188" s="1">
        <v>47.584905</v>
      </c>
      <c r="U188" s="1">
        <v>89.247323</v>
      </c>
      <c r="V188" s="1">
        <v>91.609386</v>
      </c>
      <c r="W188" s="1">
        <v>95.947889</v>
      </c>
      <c r="X188" s="1">
        <v>102.67661</v>
      </c>
      <c r="Y188" s="4"/>
    </row>
    <row r="189" ht="14.25" customHeight="1">
      <c r="A189" s="1" t="s">
        <v>212</v>
      </c>
      <c r="B189" s="2">
        <v>42231.0</v>
      </c>
      <c r="C189" s="3">
        <v>238.033</v>
      </c>
      <c r="D189" s="1">
        <v>45.2233333333333</v>
      </c>
      <c r="E189" s="1">
        <v>4.4621601</v>
      </c>
      <c r="F189" s="1">
        <v>4.9844012</v>
      </c>
      <c r="G189" s="1">
        <v>0.14</v>
      </c>
      <c r="H189" s="1">
        <v>-38.908879</v>
      </c>
      <c r="I189" s="1">
        <v>4.6571429</v>
      </c>
      <c r="J189" s="1">
        <v>4.7490476</v>
      </c>
      <c r="K189" s="1">
        <v>4.8947619</v>
      </c>
      <c r="L189" s="1">
        <v>4.3947619</v>
      </c>
      <c r="M189" s="1">
        <v>21890.0</v>
      </c>
      <c r="N189" s="1">
        <v>88.47044036885461</v>
      </c>
      <c r="O189" s="1">
        <v>93.531902</v>
      </c>
      <c r="P189" s="1">
        <v>94.766598</v>
      </c>
      <c r="Q189" s="1">
        <v>76.831829</v>
      </c>
      <c r="R189" s="1">
        <v>96.039675</v>
      </c>
      <c r="S189" s="1">
        <v>90.868363</v>
      </c>
      <c r="T189" s="1">
        <v>47.59918</v>
      </c>
      <c r="U189" s="1">
        <v>88.84571</v>
      </c>
      <c r="V189" s="1">
        <v>91.591064</v>
      </c>
      <c r="W189" s="1">
        <v>95.986269</v>
      </c>
      <c r="X189" s="1">
        <v>100.49987</v>
      </c>
      <c r="Y189" s="4"/>
    </row>
    <row r="190" ht="14.25" customHeight="1">
      <c r="A190" s="1" t="s">
        <v>213</v>
      </c>
      <c r="B190" s="2">
        <v>42262.0</v>
      </c>
      <c r="C190" s="3">
        <v>237.498</v>
      </c>
      <c r="D190" s="1">
        <v>46.7702272727272</v>
      </c>
      <c r="E190" s="1">
        <v>4.4636171</v>
      </c>
      <c r="F190" s="1">
        <v>4.9820985</v>
      </c>
      <c r="G190" s="1">
        <v>0.14</v>
      </c>
      <c r="H190" s="1">
        <v>-56.669801</v>
      </c>
      <c r="I190" s="1">
        <v>4.6063636</v>
      </c>
      <c r="J190" s="1">
        <v>4.8663636</v>
      </c>
      <c r="K190" s="1">
        <v>4.9940909</v>
      </c>
      <c r="L190" s="1">
        <v>3.9918182</v>
      </c>
      <c r="M190" s="1">
        <v>21890.0</v>
      </c>
      <c r="N190" s="1">
        <v>88.28465244408027</v>
      </c>
      <c r="O190" s="1">
        <v>93.625434</v>
      </c>
      <c r="P190" s="1">
        <v>94.965607</v>
      </c>
      <c r="Q190" s="1">
        <v>77.784544</v>
      </c>
      <c r="R190" s="1">
        <v>96.106903</v>
      </c>
      <c r="S190" s="1">
        <v>90.750234</v>
      </c>
      <c r="T190" s="1">
        <v>47.803856</v>
      </c>
      <c r="U190" s="1">
        <v>88.241559</v>
      </c>
      <c r="V190" s="1">
        <v>91.765087</v>
      </c>
      <c r="W190" s="1">
        <v>96.015064</v>
      </c>
      <c r="X190" s="1">
        <v>97.31402</v>
      </c>
      <c r="Y190" s="4"/>
    </row>
    <row r="191" ht="14.25" customHeight="1">
      <c r="A191" s="1" t="s">
        <v>214</v>
      </c>
      <c r="B191" s="2">
        <v>42292.0</v>
      </c>
      <c r="C191" s="3">
        <v>237.733</v>
      </c>
      <c r="D191" s="1">
        <v>47.5875</v>
      </c>
      <c r="E191" s="1">
        <v>4.4576015</v>
      </c>
      <c r="F191" s="1">
        <v>4.9749084</v>
      </c>
      <c r="G191" s="1">
        <v>0.12</v>
      </c>
      <c r="H191" s="1">
        <v>-67.995527</v>
      </c>
      <c r="I191" s="1">
        <v>3.9627273</v>
      </c>
      <c r="J191" s="1">
        <v>4.7281818</v>
      </c>
      <c r="K191" s="1">
        <v>4.9981818</v>
      </c>
      <c r="L191" s="1">
        <v>2.8318182</v>
      </c>
      <c r="M191" s="1">
        <v>21890.0</v>
      </c>
      <c r="N191" s="1">
        <v>88.38176556176874</v>
      </c>
      <c r="O191" s="1">
        <v>93.728422</v>
      </c>
      <c r="P191" s="1">
        <v>95.155539</v>
      </c>
      <c r="Q191" s="1">
        <v>77.823436</v>
      </c>
      <c r="R191" s="1">
        <v>96.222231</v>
      </c>
      <c r="S191" s="1">
        <v>90.922659</v>
      </c>
      <c r="T191" s="1">
        <v>47.808637</v>
      </c>
      <c r="U191" s="1">
        <v>88.232735</v>
      </c>
      <c r="V191" s="1">
        <v>91.856852</v>
      </c>
      <c r="W191" s="1">
        <v>95.957455</v>
      </c>
      <c r="X191" s="1">
        <v>97.265363</v>
      </c>
      <c r="Y191" s="4"/>
    </row>
    <row r="192" ht="14.25" customHeight="1">
      <c r="A192" s="1" t="s">
        <v>215</v>
      </c>
      <c r="B192" s="2">
        <v>42323.0</v>
      </c>
      <c r="C192" s="3">
        <v>238.017</v>
      </c>
      <c r="D192" s="1">
        <v>43.8402380952381</v>
      </c>
      <c r="E192" s="1">
        <v>4.476634</v>
      </c>
      <c r="F192" s="1">
        <v>4.9951951</v>
      </c>
      <c r="G192" s="1">
        <v>0.12</v>
      </c>
      <c r="H192" s="1">
        <v>-98.844516</v>
      </c>
      <c r="I192" s="1">
        <v>3.5985714</v>
      </c>
      <c r="J192" s="1">
        <v>4.5966667</v>
      </c>
      <c r="K192" s="1">
        <v>4.9061905</v>
      </c>
      <c r="L192" s="1">
        <v>2.5019048</v>
      </c>
      <c r="M192" s="1">
        <v>21890.0</v>
      </c>
      <c r="N192" s="1">
        <v>88.4438095611931</v>
      </c>
      <c r="O192" s="1">
        <v>93.880637</v>
      </c>
      <c r="P192" s="1">
        <v>95.291326</v>
      </c>
      <c r="Q192" s="1">
        <v>77.870831</v>
      </c>
      <c r="R192" s="1">
        <v>96.401012</v>
      </c>
      <c r="S192" s="1">
        <v>90.967302</v>
      </c>
      <c r="T192" s="1">
        <v>47.833067</v>
      </c>
      <c r="U192" s="1">
        <v>88.519403</v>
      </c>
      <c r="V192" s="1">
        <v>91.918764</v>
      </c>
      <c r="W192" s="1">
        <v>96.020212</v>
      </c>
      <c r="X192" s="1">
        <v>96.897311</v>
      </c>
      <c r="Y192" s="4"/>
    </row>
    <row r="193" ht="14.25" customHeight="1">
      <c r="A193" s="1" t="s">
        <v>216</v>
      </c>
      <c r="B193" s="2">
        <v>42353.0</v>
      </c>
      <c r="C193" s="3">
        <v>237.761</v>
      </c>
      <c r="D193" s="1">
        <v>37.960652173913</v>
      </c>
      <c r="E193" s="1">
        <v>4.4773409</v>
      </c>
      <c r="F193" s="1">
        <v>4.9970819</v>
      </c>
      <c r="G193" s="1">
        <v>0.24</v>
      </c>
      <c r="H193" s="1">
        <v>-110.03758</v>
      </c>
      <c r="I193" s="1">
        <v>5.0578261</v>
      </c>
      <c r="J193" s="1">
        <v>5.146087</v>
      </c>
      <c r="K193" s="1">
        <v>5.176087</v>
      </c>
      <c r="L193" s="1">
        <v>4.8443478</v>
      </c>
      <c r="M193" s="1">
        <v>21890.0</v>
      </c>
      <c r="N193" s="1">
        <v>88.45857967738978</v>
      </c>
      <c r="O193" s="1">
        <v>94.030752</v>
      </c>
      <c r="P193" s="1">
        <v>95.598354</v>
      </c>
      <c r="Q193" s="1">
        <v>77.903536</v>
      </c>
      <c r="R193" s="1">
        <v>96.30866</v>
      </c>
      <c r="S193" s="1">
        <v>91.11094</v>
      </c>
      <c r="T193" s="1">
        <v>47.897977</v>
      </c>
      <c r="U193" s="1">
        <v>88.957751</v>
      </c>
      <c r="V193" s="1">
        <v>92.056458</v>
      </c>
      <c r="W193" s="1">
        <v>95.968361</v>
      </c>
      <c r="X193" s="1">
        <v>95.374376</v>
      </c>
      <c r="Y193" s="4"/>
    </row>
    <row r="194" ht="14.25" customHeight="1">
      <c r="A194" s="1" t="s">
        <v>217</v>
      </c>
      <c r="B194" s="2">
        <v>42384.0</v>
      </c>
      <c r="C194" s="3">
        <v>237.652</v>
      </c>
      <c r="D194" s="1">
        <v>31.9147619047619</v>
      </c>
      <c r="E194" s="1">
        <v>4.4830022</v>
      </c>
      <c r="F194" s="1">
        <v>5.0039483</v>
      </c>
      <c r="G194" s="1">
        <v>0.34</v>
      </c>
      <c r="H194" s="1">
        <v>-139.38801</v>
      </c>
      <c r="I194" s="1">
        <v>5.277619</v>
      </c>
      <c r="J194" s="1">
        <v>5.2942857</v>
      </c>
      <c r="K194" s="1">
        <v>5.342381</v>
      </c>
      <c r="L194" s="1">
        <v>5.072381</v>
      </c>
      <c r="M194" s="1">
        <v>21904.83</v>
      </c>
      <c r="N194" s="1">
        <v>88.45698742295554</v>
      </c>
      <c r="O194" s="1">
        <v>94.448813</v>
      </c>
      <c r="P194" s="1">
        <v>95.948435</v>
      </c>
      <c r="Q194" s="1">
        <v>78.594775</v>
      </c>
      <c r="R194" s="1">
        <v>96.458613</v>
      </c>
      <c r="S194" s="1">
        <v>91.340266</v>
      </c>
      <c r="T194" s="1">
        <v>47.996934</v>
      </c>
      <c r="U194" s="1">
        <v>89.220977</v>
      </c>
      <c r="V194" s="1">
        <v>92.326644</v>
      </c>
      <c r="W194" s="1">
        <v>96.124693</v>
      </c>
      <c r="X194" s="1">
        <v>92.685486</v>
      </c>
      <c r="Y194" s="4"/>
    </row>
    <row r="195" ht="14.25" customHeight="1">
      <c r="A195" s="1" t="s">
        <v>218</v>
      </c>
      <c r="B195" s="2">
        <v>42415.0</v>
      </c>
      <c r="C195" s="3">
        <v>237.336</v>
      </c>
      <c r="D195" s="1">
        <v>32.07</v>
      </c>
      <c r="E195" s="1">
        <v>4.470629</v>
      </c>
      <c r="F195" s="1">
        <v>4.9887227</v>
      </c>
      <c r="G195" s="1">
        <v>0.38</v>
      </c>
      <c r="H195" s="1">
        <v>-162.09786</v>
      </c>
      <c r="I195" s="1">
        <v>4.93</v>
      </c>
      <c r="J195" s="1">
        <v>5.3061905</v>
      </c>
      <c r="K195" s="1">
        <v>5.3680952</v>
      </c>
      <c r="L195" s="1">
        <v>4.1580952</v>
      </c>
      <c r="M195" s="1">
        <v>21888.81</v>
      </c>
      <c r="N195" s="1">
        <v>88.82779911423292</v>
      </c>
      <c r="O195" s="1">
        <v>95.533746</v>
      </c>
      <c r="P195" s="1">
        <v>96.381067</v>
      </c>
      <c r="Q195" s="1">
        <v>78.797392</v>
      </c>
      <c r="R195" s="1">
        <v>96.646225</v>
      </c>
      <c r="S195" s="1">
        <v>93.14725</v>
      </c>
      <c r="T195" s="1">
        <v>48.027412</v>
      </c>
      <c r="U195" s="1">
        <v>88.853476</v>
      </c>
      <c r="V195" s="1">
        <v>93.068304</v>
      </c>
      <c r="W195" s="1">
        <v>96.811216</v>
      </c>
      <c r="X195" s="1">
        <v>89.010599</v>
      </c>
      <c r="Y195" s="4"/>
    </row>
    <row r="196" ht="14.25" customHeight="1">
      <c r="A196" s="1" t="s">
        <v>219</v>
      </c>
      <c r="B196" s="2">
        <v>42444.0</v>
      </c>
      <c r="C196" s="3">
        <v>238.08</v>
      </c>
      <c r="D196" s="1">
        <v>38.8469565217391</v>
      </c>
      <c r="E196" s="1">
        <v>4.4588872</v>
      </c>
      <c r="F196" s="1">
        <v>4.9854353</v>
      </c>
      <c r="G196" s="1">
        <v>0.36</v>
      </c>
      <c r="H196" s="1">
        <v>-140.00933</v>
      </c>
      <c r="I196" s="1">
        <v>4.793913</v>
      </c>
      <c r="J196" s="1">
        <v>5.0152174</v>
      </c>
      <c r="K196" s="1">
        <v>5.1030435</v>
      </c>
      <c r="L196" s="1">
        <v>3.9252174</v>
      </c>
      <c r="M196" s="1">
        <v>21874.78</v>
      </c>
      <c r="N196" s="1">
        <v>89.33367343018867</v>
      </c>
      <c r="O196" s="1">
        <v>95.017864</v>
      </c>
      <c r="P196" s="1">
        <v>96.220014</v>
      </c>
      <c r="Q196" s="1">
        <v>79.31777</v>
      </c>
      <c r="R196" s="1">
        <v>96.636753</v>
      </c>
      <c r="S196" s="1">
        <v>92.695952</v>
      </c>
      <c r="T196" s="1">
        <v>59.718388</v>
      </c>
      <c r="U196" s="1">
        <v>88.843613</v>
      </c>
      <c r="V196" s="1">
        <v>92.858807</v>
      </c>
      <c r="W196" s="1">
        <v>96.718277</v>
      </c>
      <c r="X196" s="1">
        <v>85.770791</v>
      </c>
      <c r="Y196" s="4"/>
    </row>
    <row r="197" ht="14.25" customHeight="1">
      <c r="A197" s="1" t="s">
        <v>220</v>
      </c>
      <c r="B197" s="2">
        <v>42475.0</v>
      </c>
      <c r="C197" s="3">
        <v>238.992</v>
      </c>
      <c r="D197" s="1">
        <v>42.1811904761905</v>
      </c>
      <c r="E197" s="1">
        <v>4.4388414</v>
      </c>
      <c r="F197" s="1">
        <v>4.969687</v>
      </c>
      <c r="G197" s="1">
        <v>0.37</v>
      </c>
      <c r="H197" s="1">
        <v>-94.186076</v>
      </c>
      <c r="I197" s="1">
        <v>4.9947619</v>
      </c>
      <c r="J197" s="1">
        <v>5.092381</v>
      </c>
      <c r="K197" s="1">
        <v>5.2009524</v>
      </c>
      <c r="L197" s="1">
        <v>4.5733333</v>
      </c>
      <c r="M197" s="1">
        <v>21888.89</v>
      </c>
      <c r="N197" s="1">
        <v>89.63276256883216</v>
      </c>
      <c r="O197" s="1">
        <v>95.176259</v>
      </c>
      <c r="P197" s="1">
        <v>96.263409</v>
      </c>
      <c r="Q197" s="1">
        <v>79.609818</v>
      </c>
      <c r="R197" s="1">
        <v>96.729041</v>
      </c>
      <c r="S197" s="1">
        <v>92.691781</v>
      </c>
      <c r="T197" s="1">
        <v>59.988077</v>
      </c>
      <c r="U197" s="1">
        <v>89.476802</v>
      </c>
      <c r="V197" s="1">
        <v>92.947951</v>
      </c>
      <c r="W197" s="1">
        <v>96.712861</v>
      </c>
      <c r="X197" s="1">
        <v>87.252482</v>
      </c>
      <c r="Y197" s="4"/>
    </row>
    <row r="198" ht="14.25" customHeight="1">
      <c r="A198" s="1" t="s">
        <v>221</v>
      </c>
      <c r="B198" s="2">
        <v>42505.0</v>
      </c>
      <c r="C198" s="3">
        <v>239.557</v>
      </c>
      <c r="D198" s="1">
        <v>47.2884090909091</v>
      </c>
      <c r="E198" s="1">
        <v>4.4434615</v>
      </c>
      <c r="F198" s="1">
        <v>4.9786012</v>
      </c>
      <c r="G198" s="1">
        <v>0.37</v>
      </c>
      <c r="H198" s="1">
        <v>-92.23291</v>
      </c>
      <c r="I198" s="1">
        <v>4.0977273</v>
      </c>
      <c r="J198" s="1">
        <v>4.8327273</v>
      </c>
      <c r="K198" s="1">
        <v>5.0768182</v>
      </c>
      <c r="L198" s="1">
        <v>2.2959091</v>
      </c>
      <c r="M198" s="1">
        <v>21888.08</v>
      </c>
      <c r="N198" s="1">
        <v>90.11749654880498</v>
      </c>
      <c r="O198" s="1">
        <v>95.282666</v>
      </c>
      <c r="P198" s="1">
        <v>96.278715</v>
      </c>
      <c r="Q198" s="1">
        <v>79.623113</v>
      </c>
      <c r="R198" s="1">
        <v>96.816001</v>
      </c>
      <c r="S198" s="1">
        <v>93.027974</v>
      </c>
      <c r="T198" s="1">
        <v>60.019211</v>
      </c>
      <c r="U198" s="1">
        <v>90.264734</v>
      </c>
      <c r="V198" s="1">
        <v>93.4653</v>
      </c>
      <c r="W198" s="1">
        <v>97.045553</v>
      </c>
      <c r="X198" s="1">
        <v>89.341655</v>
      </c>
      <c r="Y198" s="4"/>
    </row>
    <row r="199" ht="14.25" customHeight="1">
      <c r="A199" s="1" t="s">
        <v>222</v>
      </c>
      <c r="B199" s="2">
        <v>42536.0</v>
      </c>
      <c r="C199" s="3">
        <v>240.222</v>
      </c>
      <c r="D199" s="1">
        <v>49.3345454545454</v>
      </c>
      <c r="E199" s="1">
        <v>4.4405186</v>
      </c>
      <c r="F199" s="1">
        <v>4.9779184</v>
      </c>
      <c r="G199" s="1">
        <v>0.38</v>
      </c>
      <c r="H199" s="1">
        <v>-94.306104</v>
      </c>
      <c r="I199" s="1">
        <v>3.0195455</v>
      </c>
      <c r="J199" s="1">
        <v>4.2613636</v>
      </c>
      <c r="K199" s="1">
        <v>4.8109091</v>
      </c>
      <c r="L199" s="1">
        <v>1.4963636</v>
      </c>
      <c r="M199" s="1">
        <v>21881.69</v>
      </c>
      <c r="N199" s="1">
        <v>90.53609232027407</v>
      </c>
      <c r="O199" s="1">
        <v>95.404532</v>
      </c>
      <c r="P199" s="1">
        <v>96.339852</v>
      </c>
      <c r="Q199" s="1">
        <v>79.670887</v>
      </c>
      <c r="R199" s="1">
        <v>96.870121</v>
      </c>
      <c r="S199" s="1">
        <v>93.221565</v>
      </c>
      <c r="T199" s="1">
        <v>60.050481</v>
      </c>
      <c r="U199" s="1">
        <v>90.761822</v>
      </c>
      <c r="V199" s="1">
        <v>93.492218</v>
      </c>
      <c r="W199" s="1">
        <v>97.217032</v>
      </c>
      <c r="X199" s="1">
        <v>92.014757</v>
      </c>
      <c r="Y199" s="4"/>
    </row>
    <row r="200" ht="14.25" customHeight="1">
      <c r="A200" s="1" t="s">
        <v>223</v>
      </c>
      <c r="B200" s="2">
        <v>42566.0</v>
      </c>
      <c r="C200" s="3">
        <v>240.101</v>
      </c>
      <c r="D200" s="1">
        <v>45.7473809523809</v>
      </c>
      <c r="E200" s="1">
        <v>4.4433944</v>
      </c>
      <c r="F200" s="1">
        <v>4.9837016</v>
      </c>
      <c r="G200" s="1">
        <v>0.39</v>
      </c>
      <c r="H200" s="1">
        <v>-78.922335</v>
      </c>
      <c r="I200" s="1">
        <v>2.4247619</v>
      </c>
      <c r="J200" s="1">
        <v>4.0642857</v>
      </c>
      <c r="K200" s="1">
        <v>4.6566667</v>
      </c>
      <c r="L200" s="1">
        <v>1.2757143</v>
      </c>
      <c r="M200" s="1">
        <v>21871.81</v>
      </c>
      <c r="N200" s="1">
        <v>90.65197851844388</v>
      </c>
      <c r="O200" s="1">
        <v>95.486485</v>
      </c>
      <c r="P200" s="1">
        <v>96.374438</v>
      </c>
      <c r="Q200" s="1">
        <v>79.672241</v>
      </c>
      <c r="R200" s="1">
        <v>96.932408</v>
      </c>
      <c r="S200" s="1">
        <v>93.170666</v>
      </c>
      <c r="T200" s="1">
        <v>60.063031</v>
      </c>
      <c r="U200" s="1">
        <v>90.891521</v>
      </c>
      <c r="V200" s="1">
        <v>93.651528</v>
      </c>
      <c r="W200" s="1">
        <v>97.227823</v>
      </c>
      <c r="X200" s="1">
        <v>93.107985</v>
      </c>
      <c r="Y200" s="4"/>
    </row>
    <row r="201" ht="14.25" customHeight="1">
      <c r="A201" s="1" t="s">
        <v>224</v>
      </c>
      <c r="B201" s="2">
        <v>42597.0</v>
      </c>
      <c r="C201" s="3">
        <v>240.545</v>
      </c>
      <c r="D201" s="1">
        <v>45.9019565217391</v>
      </c>
      <c r="E201" s="1">
        <v>4.4308541</v>
      </c>
      <c r="F201" s="1">
        <v>4.9705541</v>
      </c>
      <c r="G201" s="1">
        <v>0.4</v>
      </c>
      <c r="H201" s="1">
        <v>-83.944951</v>
      </c>
      <c r="I201" s="1">
        <v>2.2165217</v>
      </c>
      <c r="J201" s="1">
        <v>3.9421739</v>
      </c>
      <c r="K201" s="1">
        <v>4.6413043</v>
      </c>
      <c r="L201" s="1">
        <v>1.0495652</v>
      </c>
      <c r="M201" s="1">
        <v>21860.85</v>
      </c>
      <c r="N201" s="1">
        <v>90.74480614444718</v>
      </c>
      <c r="O201" s="1">
        <v>95.536997</v>
      </c>
      <c r="P201" s="1">
        <v>96.506471</v>
      </c>
      <c r="Q201" s="1">
        <v>80.044231</v>
      </c>
      <c r="R201" s="1">
        <v>96.980196</v>
      </c>
      <c r="S201" s="1">
        <v>93.044047</v>
      </c>
      <c r="T201" s="1">
        <v>63.773124</v>
      </c>
      <c r="U201" s="1">
        <v>90.871161</v>
      </c>
      <c r="V201" s="1">
        <v>93.758291</v>
      </c>
      <c r="W201" s="1">
        <v>97.106872</v>
      </c>
      <c r="X201" s="1">
        <v>91.271895</v>
      </c>
      <c r="Y201" s="4"/>
    </row>
    <row r="202" ht="14.25" customHeight="1">
      <c r="A202" s="1" t="s">
        <v>225</v>
      </c>
      <c r="B202" s="2">
        <v>42628.0</v>
      </c>
      <c r="C202" s="3">
        <v>241.176</v>
      </c>
      <c r="D202" s="1">
        <v>46.2884090909091</v>
      </c>
      <c r="E202" s="1">
        <v>4.4292167</v>
      </c>
      <c r="F202" s="1">
        <v>4.9712645</v>
      </c>
      <c r="G202" s="1">
        <v>0.4</v>
      </c>
      <c r="H202" s="1">
        <v>-63.329312</v>
      </c>
      <c r="I202" s="1">
        <v>1.8290909</v>
      </c>
      <c r="J202" s="1">
        <v>3.5577273</v>
      </c>
      <c r="K202" s="1">
        <v>4.595</v>
      </c>
      <c r="L202" s="1">
        <v>0.58818182</v>
      </c>
      <c r="M202" s="1">
        <v>21941.08</v>
      </c>
      <c r="N202" s="1">
        <v>91.2376411866175</v>
      </c>
      <c r="O202" s="1">
        <v>95.577314</v>
      </c>
      <c r="P202" s="1">
        <v>96.639554</v>
      </c>
      <c r="Q202" s="1">
        <v>85.799011</v>
      </c>
      <c r="R202" s="1">
        <v>97.083383</v>
      </c>
      <c r="S202" s="1">
        <v>93.131695</v>
      </c>
      <c r="T202" s="1">
        <v>63.782754</v>
      </c>
      <c r="U202" s="1">
        <v>90.955035</v>
      </c>
      <c r="V202" s="1">
        <v>93.801889</v>
      </c>
      <c r="W202" s="1">
        <v>97.281373</v>
      </c>
      <c r="X202" s="1">
        <v>91.7717</v>
      </c>
      <c r="Y202" s="4"/>
    </row>
    <row r="203" ht="14.25" customHeight="1">
      <c r="A203" s="1" t="s">
        <v>226</v>
      </c>
      <c r="B203" s="2">
        <v>42658.0</v>
      </c>
      <c r="C203" s="3">
        <v>241.741</v>
      </c>
      <c r="D203" s="1">
        <v>50.6116666666666</v>
      </c>
      <c r="E203" s="1">
        <v>4.4406001</v>
      </c>
      <c r="F203" s="1">
        <v>4.985789</v>
      </c>
      <c r="G203" s="1">
        <v>0.4</v>
      </c>
      <c r="H203" s="1">
        <v>-58.598376</v>
      </c>
      <c r="I203" s="1">
        <v>1.6742857</v>
      </c>
      <c r="J203" s="1">
        <v>3.442381</v>
      </c>
      <c r="K203" s="1">
        <v>4.5261905</v>
      </c>
      <c r="L203" s="1">
        <v>0.56857143</v>
      </c>
      <c r="M203" s="1">
        <v>22003.0</v>
      </c>
      <c r="N203" s="1">
        <v>91.9965558860075</v>
      </c>
      <c r="O203" s="1">
        <v>95.635425</v>
      </c>
      <c r="P203" s="1">
        <v>96.688647</v>
      </c>
      <c r="Q203" s="1">
        <v>86.320497</v>
      </c>
      <c r="R203" s="1">
        <v>97.117362</v>
      </c>
      <c r="S203" s="1">
        <v>93.292533</v>
      </c>
      <c r="T203" s="1">
        <v>70.204083</v>
      </c>
      <c r="U203" s="1">
        <v>91.239725</v>
      </c>
      <c r="V203" s="1">
        <v>93.963228</v>
      </c>
      <c r="W203" s="1">
        <v>97.26036</v>
      </c>
      <c r="X203" s="1">
        <v>93.628884</v>
      </c>
      <c r="Y203" s="4"/>
    </row>
    <row r="204" ht="14.25" customHeight="1">
      <c r="A204" s="1" t="s">
        <v>227</v>
      </c>
      <c r="B204" s="2">
        <v>42689.0</v>
      </c>
      <c r="C204" s="3">
        <v>242.026</v>
      </c>
      <c r="D204" s="1">
        <v>46.2065909090909</v>
      </c>
      <c r="E204" s="1">
        <v>4.4574184</v>
      </c>
      <c r="F204" s="1">
        <v>5.0063968</v>
      </c>
      <c r="G204" s="1">
        <v>0.41</v>
      </c>
      <c r="H204" s="1">
        <v>-37.514269</v>
      </c>
      <c r="I204" s="1">
        <v>2.4690909</v>
      </c>
      <c r="J204" s="1">
        <v>4.3718182</v>
      </c>
      <c r="K204" s="1">
        <v>4.6836364</v>
      </c>
      <c r="L204" s="1">
        <v>1.6463636</v>
      </c>
      <c r="M204" s="1">
        <v>22078.0</v>
      </c>
      <c r="N204" s="1">
        <v>92.43878333015184</v>
      </c>
      <c r="O204" s="1">
        <v>95.683051</v>
      </c>
      <c r="P204" s="1">
        <v>96.919926</v>
      </c>
      <c r="Q204" s="1">
        <v>86.324036</v>
      </c>
      <c r="R204" s="1">
        <v>97.209915</v>
      </c>
      <c r="S204" s="1">
        <v>93.753118</v>
      </c>
      <c r="T204" s="1">
        <v>70.834656</v>
      </c>
      <c r="U204" s="1">
        <v>91.682602</v>
      </c>
      <c r="V204" s="1">
        <v>94.08585</v>
      </c>
      <c r="W204" s="1">
        <v>97.28701</v>
      </c>
      <c r="X204" s="1">
        <v>95.153631</v>
      </c>
      <c r="Y204" s="4"/>
    </row>
    <row r="205" ht="14.25" customHeight="1">
      <c r="A205" s="1" t="s">
        <v>228</v>
      </c>
      <c r="B205" s="2">
        <v>42719.0</v>
      </c>
      <c r="C205" s="3">
        <v>242.637</v>
      </c>
      <c r="D205" s="1">
        <v>53.5377272727273</v>
      </c>
      <c r="E205" s="1">
        <v>4.4795848</v>
      </c>
      <c r="F205" s="1">
        <v>5.0310498</v>
      </c>
      <c r="G205" s="1">
        <v>0.54</v>
      </c>
      <c r="H205" s="1">
        <v>-39.703082</v>
      </c>
      <c r="I205" s="1">
        <v>4.9159091</v>
      </c>
      <c r="J205" s="1">
        <v>5.13</v>
      </c>
      <c r="K205" s="1">
        <v>5.1659091</v>
      </c>
      <c r="L205" s="1">
        <v>4.2477273</v>
      </c>
      <c r="M205" s="1">
        <v>22138.19</v>
      </c>
      <c r="N205" s="1">
        <v>92.64908156222754</v>
      </c>
      <c r="O205" s="1">
        <v>95.884273</v>
      </c>
      <c r="P205" s="1">
        <v>97.162419</v>
      </c>
      <c r="Q205" s="1">
        <v>86.327748</v>
      </c>
      <c r="R205" s="1">
        <v>97.290502</v>
      </c>
      <c r="S205" s="1">
        <v>93.725367</v>
      </c>
      <c r="T205" s="1">
        <v>74.588822</v>
      </c>
      <c r="U205" s="1">
        <v>91.856983</v>
      </c>
      <c r="V205" s="1">
        <v>94.178713</v>
      </c>
      <c r="W205" s="1">
        <v>97.266579</v>
      </c>
      <c r="X205" s="1">
        <v>94.310284</v>
      </c>
      <c r="Y205" s="4"/>
    </row>
    <row r="206" ht="14.25" customHeight="1">
      <c r="A206" s="1" t="s">
        <v>229</v>
      </c>
      <c r="B206" s="2">
        <v>42750.0</v>
      </c>
      <c r="C206" s="3">
        <v>243.618</v>
      </c>
      <c r="D206" s="1">
        <v>54.1363636363636</v>
      </c>
      <c r="E206" s="1">
        <v>4.4728255</v>
      </c>
      <c r="F206" s="1">
        <v>5.0246677</v>
      </c>
      <c r="G206" s="1">
        <v>0.65</v>
      </c>
      <c r="H206" s="1">
        <v>-54.521519</v>
      </c>
      <c r="I206" s="1">
        <v>5.2295455</v>
      </c>
      <c r="J206" s="1">
        <v>5.2818182</v>
      </c>
      <c r="K206" s="1">
        <v>5.3345455</v>
      </c>
      <c r="L206" s="1">
        <v>4.9327273</v>
      </c>
      <c r="M206" s="1">
        <v>22172.14</v>
      </c>
      <c r="N206" s="1">
        <v>93.0719319704778</v>
      </c>
      <c r="O206" s="1">
        <v>96.636101</v>
      </c>
      <c r="P206" s="1">
        <v>97.395804</v>
      </c>
      <c r="Q206" s="1">
        <v>86.73323</v>
      </c>
      <c r="R206" s="1">
        <v>97.483235</v>
      </c>
      <c r="S206" s="1">
        <v>93.503894</v>
      </c>
      <c r="T206" s="1">
        <v>75.338962</v>
      </c>
      <c r="U206" s="1">
        <v>92.38167</v>
      </c>
      <c r="V206" s="1">
        <v>94.634161</v>
      </c>
      <c r="W206" s="1">
        <v>97.427945</v>
      </c>
      <c r="X206" s="1">
        <v>97.338681</v>
      </c>
      <c r="Y206" s="4"/>
    </row>
    <row r="207" ht="14.25" customHeight="1">
      <c r="A207" s="1" t="s">
        <v>230</v>
      </c>
      <c r="B207" s="2">
        <v>42781.0</v>
      </c>
      <c r="C207" s="3">
        <v>244.006</v>
      </c>
      <c r="D207" s="1">
        <v>54.773</v>
      </c>
      <c r="E207" s="1">
        <v>4.4591188</v>
      </c>
      <c r="F207" s="1">
        <v>5.0100412</v>
      </c>
      <c r="G207" s="1">
        <v>0.66</v>
      </c>
      <c r="H207" s="1">
        <v>-72.286426</v>
      </c>
      <c r="I207" s="1">
        <v>4.397</v>
      </c>
      <c r="J207" s="1">
        <v>4.721</v>
      </c>
      <c r="K207" s="1">
        <v>4.9645</v>
      </c>
      <c r="L207" s="1">
        <v>3.7765</v>
      </c>
      <c r="M207" s="1">
        <v>22221.78</v>
      </c>
      <c r="N207" s="1">
        <v>93.2895341474247</v>
      </c>
      <c r="O207" s="1">
        <v>96.626051</v>
      </c>
      <c r="P207" s="1">
        <v>97.345742</v>
      </c>
      <c r="Q207" s="1">
        <v>86.73375</v>
      </c>
      <c r="R207" s="1">
        <v>97.528272</v>
      </c>
      <c r="S207" s="1">
        <v>93.610302</v>
      </c>
      <c r="T207" s="1">
        <v>75.50531</v>
      </c>
      <c r="U207" s="1">
        <v>93.090237</v>
      </c>
      <c r="V207" s="1">
        <v>94.769866</v>
      </c>
      <c r="W207" s="1">
        <v>97.569605</v>
      </c>
      <c r="X207" s="1">
        <v>97.885043</v>
      </c>
      <c r="Y207" s="4"/>
    </row>
    <row r="208" ht="14.25" customHeight="1">
      <c r="A208" s="1" t="s">
        <v>231</v>
      </c>
      <c r="B208" s="2">
        <v>42809.0</v>
      </c>
      <c r="C208" s="3">
        <v>243.892</v>
      </c>
      <c r="D208" s="1">
        <v>51.0091304347826</v>
      </c>
      <c r="E208" s="1">
        <v>4.4556291</v>
      </c>
      <c r="F208" s="1">
        <v>5.011154</v>
      </c>
      <c r="G208" s="1">
        <v>0.79</v>
      </c>
      <c r="H208" s="1">
        <v>-31.334043</v>
      </c>
      <c r="I208" s="1">
        <v>4.8886957</v>
      </c>
      <c r="J208" s="1">
        <v>4.9843478</v>
      </c>
      <c r="K208" s="1">
        <v>5.0586957</v>
      </c>
      <c r="L208" s="1">
        <v>4.6869565</v>
      </c>
      <c r="M208" s="1">
        <v>22254.19</v>
      </c>
      <c r="N208" s="1">
        <v>93.48357637845164</v>
      </c>
      <c r="O208" s="1">
        <v>96.602668</v>
      </c>
      <c r="P208" s="1">
        <v>97.230095</v>
      </c>
      <c r="Q208" s="1">
        <v>87.382865</v>
      </c>
      <c r="R208" s="1">
        <v>97.585131</v>
      </c>
      <c r="S208" s="1">
        <v>92.79505</v>
      </c>
      <c r="T208" s="1">
        <v>81.174626</v>
      </c>
      <c r="U208" s="1">
        <v>93.552523</v>
      </c>
      <c r="V208" s="1">
        <v>94.82398</v>
      </c>
      <c r="W208" s="1">
        <v>97.604047</v>
      </c>
      <c r="X208" s="1">
        <v>98.263956</v>
      </c>
      <c r="Y208" s="4"/>
    </row>
    <row r="209" ht="14.25" customHeight="1">
      <c r="A209" s="1" t="s">
        <v>232</v>
      </c>
      <c r="B209" s="2">
        <v>42840.0</v>
      </c>
      <c r="C209" s="3">
        <v>244.193</v>
      </c>
      <c r="D209" s="1">
        <v>52.576</v>
      </c>
      <c r="E209" s="1">
        <v>4.4437746</v>
      </c>
      <c r="F209" s="1">
        <v>5.0003108</v>
      </c>
      <c r="G209" s="1">
        <v>0.9</v>
      </c>
      <c r="H209" s="1">
        <v>-24.482154</v>
      </c>
      <c r="I209" s="1">
        <v>4.98</v>
      </c>
      <c r="J209" s="1">
        <v>5.0175</v>
      </c>
      <c r="K209" s="1">
        <v>5.1385</v>
      </c>
      <c r="L209" s="1">
        <v>4.8805</v>
      </c>
      <c r="M209" s="1">
        <v>22324.57</v>
      </c>
      <c r="N209" s="1">
        <v>93.48656785289538</v>
      </c>
      <c r="O209" s="1">
        <v>96.664687</v>
      </c>
      <c r="P209" s="1">
        <v>97.251097</v>
      </c>
      <c r="Q209" s="1">
        <v>87.388545</v>
      </c>
      <c r="R209" s="1">
        <v>97.67852</v>
      </c>
      <c r="S209" s="1">
        <v>92.186778</v>
      </c>
      <c r="T209" s="1">
        <v>87.710402</v>
      </c>
      <c r="U209" s="1">
        <v>93.331646</v>
      </c>
      <c r="V209" s="1">
        <v>94.903727</v>
      </c>
      <c r="W209" s="1">
        <v>97.706238</v>
      </c>
      <c r="X209" s="1">
        <v>96.910665</v>
      </c>
      <c r="Y209" s="4"/>
    </row>
    <row r="210" ht="14.25" customHeight="1">
      <c r="A210" s="1" t="s">
        <v>233</v>
      </c>
      <c r="B210" s="2">
        <v>42870.0</v>
      </c>
      <c r="C210" s="3">
        <v>244.004</v>
      </c>
      <c r="D210" s="1">
        <v>49.9669565217391</v>
      </c>
      <c r="E210" s="1">
        <v>4.4339027</v>
      </c>
      <c r="F210" s="1">
        <v>4.9844934</v>
      </c>
      <c r="G210" s="1">
        <v>0.91</v>
      </c>
      <c r="H210" s="1">
        <v>-46.997634</v>
      </c>
      <c r="I210" s="1">
        <v>4.4908696</v>
      </c>
      <c r="J210" s="1">
        <v>4.7669565</v>
      </c>
      <c r="K210" s="1">
        <v>4.9730435</v>
      </c>
      <c r="L210" s="1">
        <v>4.1108696</v>
      </c>
      <c r="M210" s="1">
        <v>22373.19</v>
      </c>
      <c r="N210" s="1">
        <v>92.99347950671329</v>
      </c>
      <c r="O210" s="1">
        <v>96.739312</v>
      </c>
      <c r="P210" s="1">
        <v>97.303904</v>
      </c>
      <c r="Q210" s="1">
        <v>87.407072</v>
      </c>
      <c r="R210" s="1">
        <v>97.77864</v>
      </c>
      <c r="S210" s="1">
        <v>90.871549</v>
      </c>
      <c r="T210" s="1">
        <v>87.74645</v>
      </c>
      <c r="U210" s="1">
        <v>93.314753</v>
      </c>
      <c r="V210" s="1">
        <v>95.041622</v>
      </c>
      <c r="W210" s="1">
        <v>97.837751</v>
      </c>
      <c r="X210" s="1">
        <v>96.579134</v>
      </c>
      <c r="Y210" s="4"/>
    </row>
    <row r="211" ht="14.25" customHeight="1">
      <c r="A211" s="1" t="s">
        <v>234</v>
      </c>
      <c r="B211" s="2">
        <v>42901.0</v>
      </c>
      <c r="C211" s="3">
        <v>244.163</v>
      </c>
      <c r="D211" s="1">
        <v>46.4190909090909</v>
      </c>
      <c r="E211" s="1">
        <v>4.4239685</v>
      </c>
      <c r="F211" s="1">
        <v>4.9721943</v>
      </c>
      <c r="G211" s="1">
        <v>1.04</v>
      </c>
      <c r="H211" s="1">
        <v>-59.231426</v>
      </c>
      <c r="I211" s="1">
        <v>3.5318182</v>
      </c>
      <c r="J211" s="1">
        <v>4.2940909</v>
      </c>
      <c r="K211" s="1">
        <v>4.6736364</v>
      </c>
      <c r="L211" s="1">
        <v>2.285</v>
      </c>
      <c r="M211" s="1">
        <v>22415.5</v>
      </c>
      <c r="N211" s="1">
        <v>92.83436766327692</v>
      </c>
      <c r="O211" s="1">
        <v>96.836535</v>
      </c>
      <c r="P211" s="1">
        <v>97.353529</v>
      </c>
      <c r="Q211" s="1">
        <v>87.481892</v>
      </c>
      <c r="R211" s="1">
        <v>97.85921</v>
      </c>
      <c r="S211" s="1">
        <v>90.332045</v>
      </c>
      <c r="T211" s="1">
        <v>87.758472</v>
      </c>
      <c r="U211" s="1">
        <v>93.806055</v>
      </c>
      <c r="V211" s="1">
        <v>95.086577</v>
      </c>
      <c r="W211" s="1">
        <v>98.020023</v>
      </c>
      <c r="X211" s="1">
        <v>95.895547</v>
      </c>
      <c r="Y211" s="4"/>
    </row>
    <row r="212" ht="14.25" customHeight="1">
      <c r="A212" s="1" t="s">
        <v>235</v>
      </c>
      <c r="B212" s="2">
        <v>42931.0</v>
      </c>
      <c r="C212" s="3">
        <v>244.243</v>
      </c>
      <c r="D212" s="1">
        <v>47.917619047619</v>
      </c>
      <c r="E212" s="1">
        <v>4.4163134</v>
      </c>
      <c r="F212" s="1">
        <v>4.9673213</v>
      </c>
      <c r="G212" s="1">
        <v>1.15</v>
      </c>
      <c r="H212" s="1">
        <v>-53.909884</v>
      </c>
      <c r="I212" s="1">
        <v>2.5280952</v>
      </c>
      <c r="J212" s="1">
        <v>3.8257143</v>
      </c>
      <c r="K212" s="1">
        <v>4.4914286</v>
      </c>
      <c r="L212" s="1">
        <v>1.3380952</v>
      </c>
      <c r="M212" s="1">
        <v>22438.71</v>
      </c>
      <c r="N212" s="1">
        <v>92.93620696460371</v>
      </c>
      <c r="O212" s="1">
        <v>96.8774</v>
      </c>
      <c r="P212" s="1">
        <v>97.39656</v>
      </c>
      <c r="Q212" s="1">
        <v>87.523621</v>
      </c>
      <c r="R212" s="1">
        <v>97.951002</v>
      </c>
      <c r="S212" s="1">
        <v>90.819928</v>
      </c>
      <c r="T212" s="1">
        <v>88.078176</v>
      </c>
      <c r="U212" s="1">
        <v>93.837855</v>
      </c>
      <c r="V212" s="1">
        <v>95.778712</v>
      </c>
      <c r="W212" s="1">
        <v>97.987382</v>
      </c>
      <c r="X212" s="1">
        <v>94.438222</v>
      </c>
      <c r="Y212" s="4"/>
    </row>
    <row r="213" ht="14.25" customHeight="1">
      <c r="A213" s="1" t="s">
        <v>236</v>
      </c>
      <c r="B213" s="2">
        <v>42962.0</v>
      </c>
      <c r="C213" s="3">
        <v>245.183</v>
      </c>
      <c r="D213" s="1">
        <v>49.9878260869565</v>
      </c>
      <c r="E213" s="1">
        <v>4.4020177</v>
      </c>
      <c r="F213" s="1">
        <v>4.9583009</v>
      </c>
      <c r="G213" s="1">
        <v>1.16</v>
      </c>
      <c r="H213" s="1">
        <v>-31.004681</v>
      </c>
      <c r="I213" s="1">
        <v>1.6686957</v>
      </c>
      <c r="J213" s="1">
        <v>3.2756522</v>
      </c>
      <c r="K213" s="1">
        <v>4.3756522</v>
      </c>
      <c r="L213" s="1">
        <v>0.70608696</v>
      </c>
      <c r="M213" s="1">
        <v>22442.19</v>
      </c>
      <c r="N213" s="1">
        <v>93.78861785488284</v>
      </c>
      <c r="O213" s="1">
        <v>96.943373</v>
      </c>
      <c r="P213" s="1">
        <v>97.487626</v>
      </c>
      <c r="Q213" s="1">
        <v>88.019267</v>
      </c>
      <c r="R213" s="1">
        <v>97.976175</v>
      </c>
      <c r="S213" s="1">
        <v>91.78162</v>
      </c>
      <c r="T213" s="1">
        <v>90.599237</v>
      </c>
      <c r="U213" s="1">
        <v>94.715051</v>
      </c>
      <c r="V213" s="1">
        <v>95.869893</v>
      </c>
      <c r="W213" s="1">
        <v>98.000708</v>
      </c>
      <c r="X213" s="1">
        <v>96.448056</v>
      </c>
      <c r="Y213" s="4"/>
    </row>
    <row r="214" ht="14.25" customHeight="1">
      <c r="A214" s="1" t="s">
        <v>237</v>
      </c>
      <c r="B214" s="2">
        <v>42993.0</v>
      </c>
      <c r="C214" s="3">
        <v>246.435</v>
      </c>
      <c r="D214" s="1">
        <v>52.6466666666666</v>
      </c>
      <c r="E214" s="1">
        <v>4.3964952</v>
      </c>
      <c r="F214" s="1">
        <v>4.9551399</v>
      </c>
      <c r="G214" s="1">
        <v>1.15</v>
      </c>
      <c r="H214" s="1">
        <v>-13.600213</v>
      </c>
      <c r="I214" s="1">
        <v>1.7147619</v>
      </c>
      <c r="J214" s="1">
        <v>3.2633333</v>
      </c>
      <c r="K214" s="1">
        <v>4.3752381</v>
      </c>
      <c r="L214" s="1">
        <v>0.86952381</v>
      </c>
      <c r="M214" s="1">
        <v>22445.58</v>
      </c>
      <c r="N214" s="1">
        <v>94.34394026120162</v>
      </c>
      <c r="O214" s="1">
        <v>96.965767</v>
      </c>
      <c r="P214" s="1">
        <v>97.539586</v>
      </c>
      <c r="Q214" s="1">
        <v>92.418646</v>
      </c>
      <c r="R214" s="1">
        <v>98.038684</v>
      </c>
      <c r="S214" s="1">
        <v>91.85578</v>
      </c>
      <c r="T214" s="1">
        <v>90.822202</v>
      </c>
      <c r="U214" s="1">
        <v>95.366312</v>
      </c>
      <c r="V214" s="1">
        <v>95.974008</v>
      </c>
      <c r="W214" s="1">
        <v>97.927012</v>
      </c>
      <c r="X214" s="1">
        <v>97.907026</v>
      </c>
      <c r="Y214" s="4"/>
    </row>
    <row r="215" ht="14.25" customHeight="1">
      <c r="A215" s="1" t="s">
        <v>238</v>
      </c>
      <c r="B215" s="2">
        <v>43023.0</v>
      </c>
      <c r="C215" s="3">
        <v>246.626</v>
      </c>
      <c r="D215" s="1">
        <v>54.5547727272727</v>
      </c>
      <c r="E215" s="1">
        <v>4.4066827</v>
      </c>
      <c r="F215" s="1">
        <v>4.9675281</v>
      </c>
      <c r="G215" s="1">
        <v>1.15</v>
      </c>
      <c r="H215" s="1">
        <v>-5.0307213</v>
      </c>
      <c r="I215" s="1">
        <v>1.6</v>
      </c>
      <c r="J215" s="1">
        <v>3.2586364</v>
      </c>
      <c r="K215" s="1">
        <v>4.3927273</v>
      </c>
      <c r="L215" s="1">
        <v>0.83227273</v>
      </c>
      <c r="M215" s="1">
        <v>22464.85</v>
      </c>
      <c r="N215" s="1">
        <v>94.73414679812197</v>
      </c>
      <c r="O215" s="1">
        <v>96.975852</v>
      </c>
      <c r="P215" s="1">
        <v>97.705014</v>
      </c>
      <c r="Q215" s="1">
        <v>92.591654</v>
      </c>
      <c r="R215" s="1">
        <v>98.139566</v>
      </c>
      <c r="S215" s="1">
        <v>92.144115</v>
      </c>
      <c r="T215" s="1">
        <v>92.762164</v>
      </c>
      <c r="U215" s="1">
        <v>95.96588</v>
      </c>
      <c r="V215" s="1">
        <v>96.09388</v>
      </c>
      <c r="W215" s="1">
        <v>97.990469</v>
      </c>
      <c r="X215" s="1">
        <v>98.508665</v>
      </c>
      <c r="Y215" s="4"/>
    </row>
    <row r="216" ht="14.25" customHeight="1">
      <c r="A216" s="1" t="s">
        <v>239</v>
      </c>
      <c r="B216" s="2">
        <v>43054.0</v>
      </c>
      <c r="C216" s="3">
        <v>247.284</v>
      </c>
      <c r="D216" s="1">
        <v>59.7872727272727</v>
      </c>
      <c r="E216" s="1">
        <v>4.4064359</v>
      </c>
      <c r="F216" s="1">
        <v>4.9662069</v>
      </c>
      <c r="G216" s="1">
        <v>1.16</v>
      </c>
      <c r="H216" s="1">
        <v>-7.1993587</v>
      </c>
      <c r="I216" s="1">
        <v>1.9795455</v>
      </c>
      <c r="J216" s="1">
        <v>4.1695455</v>
      </c>
      <c r="K216" s="1">
        <v>4.6386364</v>
      </c>
      <c r="L216" s="1">
        <v>1.1181818</v>
      </c>
      <c r="M216" s="1">
        <v>22451.04</v>
      </c>
      <c r="N216" s="1">
        <v>94.85872220116201</v>
      </c>
      <c r="O216" s="1">
        <v>97.028122</v>
      </c>
      <c r="P216" s="1">
        <v>97.848054</v>
      </c>
      <c r="Q216" s="1">
        <v>92.621098</v>
      </c>
      <c r="R216" s="1">
        <v>98.227891</v>
      </c>
      <c r="S216" s="1">
        <v>92.249528</v>
      </c>
      <c r="T216" s="1">
        <v>92.950472</v>
      </c>
      <c r="U216" s="1">
        <v>95.929605</v>
      </c>
      <c r="V216" s="1">
        <v>96.224855</v>
      </c>
      <c r="W216" s="1">
        <v>97.978612</v>
      </c>
      <c r="X216" s="1">
        <v>99.174485</v>
      </c>
      <c r="Y216" s="4"/>
    </row>
    <row r="217" ht="14.25" customHeight="1">
      <c r="A217" s="1" t="s">
        <v>240</v>
      </c>
      <c r="B217" s="2">
        <v>43084.0</v>
      </c>
      <c r="C217" s="3">
        <v>247.805</v>
      </c>
      <c r="D217" s="1">
        <v>60.9923809523809</v>
      </c>
      <c r="E217" s="1">
        <v>4.4008415</v>
      </c>
      <c r="F217" s="1">
        <v>4.9609545</v>
      </c>
      <c r="G217" s="1">
        <v>1.3</v>
      </c>
      <c r="H217" s="1">
        <v>3.4940559</v>
      </c>
      <c r="I217" s="1">
        <v>2.4447619</v>
      </c>
      <c r="J217" s="1">
        <v>4.6914286</v>
      </c>
      <c r="K217" s="1">
        <v>4.787619</v>
      </c>
      <c r="L217" s="1">
        <v>1.0485714</v>
      </c>
      <c r="M217" s="1">
        <v>22437.3</v>
      </c>
      <c r="N217" s="1">
        <v>95.05451060378505</v>
      </c>
      <c r="O217" s="1">
        <v>97.193652</v>
      </c>
      <c r="P217" s="1">
        <v>98.267528</v>
      </c>
      <c r="Q217" s="1">
        <v>92.618597</v>
      </c>
      <c r="R217" s="1">
        <v>98.34547</v>
      </c>
      <c r="S217" s="1">
        <v>92.041136</v>
      </c>
      <c r="T217" s="1">
        <v>95.318013</v>
      </c>
      <c r="U217" s="1">
        <v>96.144391</v>
      </c>
      <c r="V217" s="1">
        <v>96.374581</v>
      </c>
      <c r="W217" s="1">
        <v>98.010259</v>
      </c>
      <c r="X217" s="1">
        <v>100.00686</v>
      </c>
      <c r="Y217" s="4"/>
    </row>
    <row r="218" ht="14.25" customHeight="1">
      <c r="A218" s="1" t="s">
        <v>241</v>
      </c>
      <c r="B218" s="2">
        <v>43115.0</v>
      </c>
      <c r="C218" s="3">
        <v>248.859</v>
      </c>
      <c r="D218" s="1">
        <v>66.2369565217391</v>
      </c>
      <c r="E218" s="1">
        <v>4.3796941</v>
      </c>
      <c r="F218" s="1">
        <v>4.9424745</v>
      </c>
      <c r="G218" s="1">
        <v>1.41</v>
      </c>
      <c r="H218" s="1">
        <v>-23.254864</v>
      </c>
      <c r="I218" s="1">
        <v>3.7278261</v>
      </c>
      <c r="J218" s="1">
        <v>4.6634783</v>
      </c>
      <c r="K218" s="1">
        <v>4.796087</v>
      </c>
      <c r="L218" s="1">
        <v>1.8386957</v>
      </c>
      <c r="M218" s="1">
        <v>22410.65</v>
      </c>
      <c r="N218" s="1">
        <v>95.53748257216286</v>
      </c>
      <c r="O218" s="1">
        <v>97.537717</v>
      </c>
      <c r="P218" s="1">
        <v>98.604586</v>
      </c>
      <c r="Q218" s="1">
        <v>92.649532</v>
      </c>
      <c r="R218" s="1">
        <v>98.504691</v>
      </c>
      <c r="S218" s="1">
        <v>92.447038</v>
      </c>
      <c r="T218" s="1">
        <v>97.058329</v>
      </c>
      <c r="U218" s="1">
        <v>96.672224</v>
      </c>
      <c r="V218" s="1">
        <v>96.759116</v>
      </c>
      <c r="W218" s="1">
        <v>98.082492</v>
      </c>
      <c r="X218" s="1">
        <v>101.17314</v>
      </c>
      <c r="Y218" s="4"/>
    </row>
    <row r="219" ht="14.25" customHeight="1">
      <c r="A219" s="1" t="s">
        <v>242</v>
      </c>
      <c r="B219" s="2">
        <v>43146.0</v>
      </c>
      <c r="C219" s="3">
        <v>249.529</v>
      </c>
      <c r="D219" s="1">
        <v>63.96175</v>
      </c>
      <c r="E219" s="1">
        <v>4.3692053</v>
      </c>
      <c r="F219" s="1">
        <v>4.9325333</v>
      </c>
      <c r="G219" s="1">
        <v>1.42</v>
      </c>
      <c r="H219" s="1">
        <v>-33.288511</v>
      </c>
      <c r="I219" s="1">
        <v>3.8925</v>
      </c>
      <c r="J219" s="1">
        <v>4.163</v>
      </c>
      <c r="K219" s="1">
        <v>4.5395</v>
      </c>
      <c r="L219" s="1">
        <v>3.028</v>
      </c>
      <c r="M219" s="1">
        <v>22439.05</v>
      </c>
      <c r="N219" s="1">
        <v>96.23223114542724</v>
      </c>
      <c r="O219" s="1">
        <v>98.271591</v>
      </c>
      <c r="P219" s="1">
        <v>98.800119</v>
      </c>
      <c r="Q219" s="1">
        <v>92.665468</v>
      </c>
      <c r="R219" s="1">
        <v>98.765827</v>
      </c>
      <c r="S219" s="1">
        <v>93.861385</v>
      </c>
      <c r="T219" s="1">
        <v>97.122582</v>
      </c>
      <c r="U219" s="1">
        <v>96.588893</v>
      </c>
      <c r="V219" s="1">
        <v>97.476004</v>
      </c>
      <c r="W219" s="1">
        <v>98.789373</v>
      </c>
      <c r="X219" s="1">
        <v>101.96917</v>
      </c>
      <c r="Y219" s="4"/>
    </row>
    <row r="220" ht="14.25" customHeight="1">
      <c r="A220" s="1" t="s">
        <v>243</v>
      </c>
      <c r="B220" s="2">
        <v>43174.0</v>
      </c>
      <c r="C220" s="3">
        <v>249.577</v>
      </c>
      <c r="D220" s="1">
        <v>64.8611363636363</v>
      </c>
      <c r="E220" s="1">
        <v>4.3661111</v>
      </c>
      <c r="F220" s="1">
        <v>4.9307886</v>
      </c>
      <c r="G220" s="1">
        <v>1.51</v>
      </c>
      <c r="H220" s="1">
        <v>-30.562293</v>
      </c>
      <c r="I220" s="1">
        <v>2.0031818</v>
      </c>
      <c r="J220" s="1">
        <v>2.91</v>
      </c>
      <c r="K220" s="1">
        <v>3.9090909</v>
      </c>
      <c r="L220" s="1">
        <v>0.98136364</v>
      </c>
      <c r="M220" s="1">
        <v>22454.44</v>
      </c>
      <c r="N220" s="1">
        <v>95.97327021141571</v>
      </c>
      <c r="O220" s="1">
        <v>97.993384</v>
      </c>
      <c r="P220" s="1">
        <v>98.632653</v>
      </c>
      <c r="Q220" s="1">
        <v>92.679275</v>
      </c>
      <c r="R220" s="1">
        <v>98.788149</v>
      </c>
      <c r="S220" s="1">
        <v>93.276629</v>
      </c>
      <c r="T220" s="1">
        <v>99.04998</v>
      </c>
      <c r="U220" s="1">
        <v>96.319699</v>
      </c>
      <c r="V220" s="1">
        <v>97.382817</v>
      </c>
      <c r="W220" s="1">
        <v>98.702735</v>
      </c>
      <c r="X220" s="1">
        <v>101.18319</v>
      </c>
      <c r="Y220" s="4"/>
    </row>
    <row r="221" ht="14.25" customHeight="1">
      <c r="A221" s="1" t="s">
        <v>244</v>
      </c>
      <c r="B221" s="2">
        <v>43205.0</v>
      </c>
      <c r="C221" s="3">
        <v>250.227</v>
      </c>
      <c r="D221" s="1">
        <v>69.1233333333333</v>
      </c>
      <c r="E221" s="1">
        <v>4.3693555</v>
      </c>
      <c r="F221" s="1">
        <v>4.9372779</v>
      </c>
      <c r="G221" s="1">
        <v>1.69</v>
      </c>
      <c r="H221" s="1">
        <v>-32.847806</v>
      </c>
      <c r="I221" s="1">
        <v>1.892381</v>
      </c>
      <c r="J221" s="1">
        <v>2.6942857</v>
      </c>
      <c r="K221" s="1">
        <v>3.7095238</v>
      </c>
      <c r="L221" s="1">
        <v>1.1942857</v>
      </c>
      <c r="M221" s="1">
        <v>22488.0</v>
      </c>
      <c r="N221" s="1">
        <v>96.05331191877185</v>
      </c>
      <c r="O221" s="1">
        <v>97.988778</v>
      </c>
      <c r="P221" s="1">
        <v>98.620422</v>
      </c>
      <c r="Q221" s="1">
        <v>92.730248</v>
      </c>
      <c r="R221" s="1">
        <v>98.875477</v>
      </c>
      <c r="S221" s="1">
        <v>93.111529</v>
      </c>
      <c r="T221" s="1">
        <v>99.068898</v>
      </c>
      <c r="U221" s="1">
        <v>96.48874</v>
      </c>
      <c r="V221" s="1">
        <v>97.363828</v>
      </c>
      <c r="W221" s="1">
        <v>98.779821</v>
      </c>
      <c r="X221" s="1">
        <v>102.37422</v>
      </c>
      <c r="Y221" s="4"/>
    </row>
    <row r="222" ht="14.25" customHeight="1">
      <c r="A222" s="1" t="s">
        <v>245</v>
      </c>
      <c r="B222" s="2">
        <v>43235.0</v>
      </c>
      <c r="C222" s="3">
        <v>250.792</v>
      </c>
      <c r="D222" s="1">
        <v>73.4165217391304</v>
      </c>
      <c r="E222" s="1">
        <v>4.3898331</v>
      </c>
      <c r="F222" s="1">
        <v>4.9600831</v>
      </c>
      <c r="G222" s="1">
        <v>1.7</v>
      </c>
      <c r="H222" s="1">
        <v>-19.345288</v>
      </c>
      <c r="I222" s="1">
        <v>1.99</v>
      </c>
      <c r="J222" s="1">
        <v>2.6143478</v>
      </c>
      <c r="K222" s="1">
        <v>3.5734783</v>
      </c>
      <c r="L222" s="1">
        <v>1.52</v>
      </c>
      <c r="M222" s="1">
        <v>22575.04</v>
      </c>
      <c r="N222" s="1">
        <v>96.58016433464635</v>
      </c>
      <c r="O222" s="1">
        <v>98.067953</v>
      </c>
      <c r="P222" s="1">
        <v>98.696459</v>
      </c>
      <c r="Q222" s="1">
        <v>92.733865</v>
      </c>
      <c r="R222" s="1">
        <v>98.976034</v>
      </c>
      <c r="S222" s="1">
        <v>93.930073</v>
      </c>
      <c r="T222" s="1">
        <v>99.103077</v>
      </c>
      <c r="U222" s="1">
        <v>96.819214</v>
      </c>
      <c r="V222" s="1">
        <v>97.385442</v>
      </c>
      <c r="W222" s="1">
        <v>98.856672</v>
      </c>
      <c r="X222" s="1">
        <v>104.13495</v>
      </c>
      <c r="Y222" s="4"/>
    </row>
    <row r="223" ht="14.25" customHeight="1">
      <c r="A223" s="1" t="s">
        <v>246</v>
      </c>
      <c r="B223" s="2">
        <v>43266.0</v>
      </c>
      <c r="C223" s="3">
        <v>251.018</v>
      </c>
      <c r="D223" s="1">
        <v>71.8395238095238</v>
      </c>
      <c r="E223" s="1">
        <v>4.3984708</v>
      </c>
      <c r="F223" s="1">
        <v>4.9740031</v>
      </c>
      <c r="G223" s="1">
        <v>1.82</v>
      </c>
      <c r="H223" s="1">
        <v>-14.808597</v>
      </c>
      <c r="I223" s="1">
        <v>1.802381</v>
      </c>
      <c r="J223" s="1">
        <v>2.5066667</v>
      </c>
      <c r="K223" s="1">
        <v>3.5219048</v>
      </c>
      <c r="L223" s="1">
        <v>1.2266667</v>
      </c>
      <c r="M223" s="1">
        <v>22597.31</v>
      </c>
      <c r="N223" s="1">
        <v>97.16785463462305</v>
      </c>
      <c r="O223" s="1">
        <v>98.158862</v>
      </c>
      <c r="P223" s="1">
        <v>98.756861</v>
      </c>
      <c r="Q223" s="1">
        <v>92.835594</v>
      </c>
      <c r="R223" s="1">
        <v>99.000877</v>
      </c>
      <c r="S223" s="1">
        <v>94.942545</v>
      </c>
      <c r="T223" s="1">
        <v>99.130826</v>
      </c>
      <c r="U223" s="1">
        <v>97.449023</v>
      </c>
      <c r="V223" s="1">
        <v>97.409204</v>
      </c>
      <c r="W223" s="1">
        <v>98.987459</v>
      </c>
      <c r="X223" s="1">
        <v>105.21795</v>
      </c>
      <c r="Y223" s="4"/>
    </row>
    <row r="224" ht="14.25" customHeight="1">
      <c r="A224" s="1" t="s">
        <v>247</v>
      </c>
      <c r="B224" s="2">
        <v>43296.0</v>
      </c>
      <c r="C224" s="3">
        <v>251.214</v>
      </c>
      <c r="D224" s="1">
        <v>73.1518181818182</v>
      </c>
      <c r="E224" s="1">
        <v>4.4067669</v>
      </c>
      <c r="F224" s="1">
        <v>4.981111</v>
      </c>
      <c r="G224" s="1">
        <v>1.91</v>
      </c>
      <c r="H224" s="1">
        <v>5.1971601</v>
      </c>
      <c r="I224" s="1">
        <v>2.7018182</v>
      </c>
      <c r="J224" s="1">
        <v>3.2127273</v>
      </c>
      <c r="K224" s="1">
        <v>3.8859091</v>
      </c>
      <c r="L224" s="1">
        <v>2.1190909</v>
      </c>
      <c r="M224" s="1">
        <v>22647.5</v>
      </c>
      <c r="N224" s="1">
        <v>97.0798205583239</v>
      </c>
      <c r="O224" s="1">
        <v>98.208531</v>
      </c>
      <c r="P224" s="1">
        <v>98.872505</v>
      </c>
      <c r="Q224" s="1">
        <v>92.877463</v>
      </c>
      <c r="R224" s="1">
        <v>99.104827</v>
      </c>
      <c r="S224" s="1">
        <v>95.352602</v>
      </c>
      <c r="T224" s="1">
        <v>93.328302</v>
      </c>
      <c r="U224" s="1">
        <v>97.809195</v>
      </c>
      <c r="V224" s="1">
        <v>97.954306</v>
      </c>
      <c r="W224" s="1">
        <v>99.249578</v>
      </c>
      <c r="X224" s="1">
        <v>104.67566</v>
      </c>
      <c r="Y224" s="4"/>
    </row>
    <row r="225" ht="14.25" customHeight="1">
      <c r="A225" s="1" t="s">
        <v>248</v>
      </c>
      <c r="B225" s="2">
        <v>43327.0</v>
      </c>
      <c r="C225" s="3">
        <v>251.663</v>
      </c>
      <c r="D225" s="1">
        <v>70.8893478260869</v>
      </c>
      <c r="E225" s="1">
        <v>4.4127637</v>
      </c>
      <c r="F225" s="1">
        <v>4.9876644</v>
      </c>
      <c r="G225" s="1">
        <v>1.91</v>
      </c>
      <c r="H225" s="1">
        <v>8.7551731</v>
      </c>
      <c r="I225" s="1">
        <v>4.3969565</v>
      </c>
      <c r="J225" s="1">
        <v>4.5565217</v>
      </c>
      <c r="K225" s="1">
        <v>4.6356522</v>
      </c>
      <c r="L225" s="1">
        <v>3.9865217</v>
      </c>
      <c r="M225" s="1">
        <v>22679.26</v>
      </c>
      <c r="N225" s="1">
        <v>97.51871842706801</v>
      </c>
      <c r="O225" s="1">
        <v>98.315971</v>
      </c>
      <c r="P225" s="1">
        <v>98.97464</v>
      </c>
      <c r="Q225" s="1">
        <v>93.302284</v>
      </c>
      <c r="R225" s="1">
        <v>99.204527</v>
      </c>
      <c r="S225" s="1">
        <v>96.18236</v>
      </c>
      <c r="T225" s="1">
        <v>93.343048</v>
      </c>
      <c r="U225" s="1">
        <v>98.243468</v>
      </c>
      <c r="V225" s="1">
        <v>98.084194</v>
      </c>
      <c r="W225" s="1">
        <v>99.43716</v>
      </c>
      <c r="X225" s="1">
        <v>104.81048</v>
      </c>
      <c r="Y225" s="4"/>
    </row>
    <row r="226" ht="14.25" customHeight="1">
      <c r="A226" s="1" t="s">
        <v>249</v>
      </c>
      <c r="B226" s="2">
        <v>43358.0</v>
      </c>
      <c r="C226" s="3">
        <v>252.182</v>
      </c>
      <c r="D226" s="1">
        <v>74.67675</v>
      </c>
      <c r="E226" s="1">
        <v>4.4121844</v>
      </c>
      <c r="F226" s="1">
        <v>4.9890914</v>
      </c>
      <c r="G226" s="1">
        <v>1.95</v>
      </c>
      <c r="H226" s="1">
        <v>-7.9861577</v>
      </c>
      <c r="I226" s="1">
        <v>4.0245</v>
      </c>
      <c r="J226" s="1">
        <v>4.4875</v>
      </c>
      <c r="K226" s="1">
        <v>4.617</v>
      </c>
      <c r="L226" s="1">
        <v>3.3545</v>
      </c>
      <c r="M226" s="1">
        <v>22699.88</v>
      </c>
      <c r="N226" s="1">
        <v>98.0974920209329</v>
      </c>
      <c r="O226" s="1">
        <v>98.401211</v>
      </c>
      <c r="P226" s="1">
        <v>99.084502</v>
      </c>
      <c r="Q226" s="1">
        <v>98.030844</v>
      </c>
      <c r="R226" s="1">
        <v>99.329723</v>
      </c>
      <c r="S226" s="1">
        <v>96.608063</v>
      </c>
      <c r="T226" s="1">
        <v>93.380945</v>
      </c>
      <c r="U226" s="1">
        <v>98.442607</v>
      </c>
      <c r="V226" s="1">
        <v>98.226318</v>
      </c>
      <c r="W226" s="1">
        <v>99.531228</v>
      </c>
      <c r="X226" s="1">
        <v>105.66815</v>
      </c>
      <c r="Y226" s="4"/>
    </row>
    <row r="227" ht="14.25" customHeight="1">
      <c r="A227" s="1" t="s">
        <v>250</v>
      </c>
      <c r="B227" s="2">
        <v>43388.0</v>
      </c>
      <c r="C227" s="3">
        <v>252.772</v>
      </c>
      <c r="D227" s="1">
        <v>75.7682608695652</v>
      </c>
      <c r="E227" s="1">
        <v>4.4193836</v>
      </c>
      <c r="F227" s="1">
        <v>4.997373</v>
      </c>
      <c r="G227" s="1">
        <v>2.19</v>
      </c>
      <c r="H227" s="1">
        <v>-1.5019189</v>
      </c>
      <c r="I227" s="1">
        <v>4.1004348</v>
      </c>
      <c r="J227" s="1">
        <v>4.5447826</v>
      </c>
      <c r="K227" s="1">
        <v>4.6282609</v>
      </c>
      <c r="L227" s="1">
        <v>3.5073913</v>
      </c>
      <c r="M227" s="1">
        <v>22719.81</v>
      </c>
      <c r="N227" s="1">
        <v>98.4227833044736</v>
      </c>
      <c r="O227" s="1">
        <v>98.429649</v>
      </c>
      <c r="P227" s="1">
        <v>99.230949</v>
      </c>
      <c r="Q227" s="1">
        <v>98.599619</v>
      </c>
      <c r="R227" s="1">
        <v>99.438489</v>
      </c>
      <c r="S227" s="1">
        <v>96.818282</v>
      </c>
      <c r="T227" s="1">
        <v>93.40401</v>
      </c>
      <c r="U227" s="1">
        <v>98.746204</v>
      </c>
      <c r="V227" s="1">
        <v>98.315998</v>
      </c>
      <c r="W227" s="1">
        <v>99.622896</v>
      </c>
      <c r="X227" s="1">
        <v>107.3041</v>
      </c>
      <c r="Y227" s="4"/>
    </row>
    <row r="228" ht="14.25" customHeight="1">
      <c r="A228" s="1" t="s">
        <v>251</v>
      </c>
      <c r="B228" s="2">
        <v>43419.0</v>
      </c>
      <c r="C228" s="3">
        <v>252.594</v>
      </c>
      <c r="D228" s="1">
        <v>61.2084090909091</v>
      </c>
      <c r="E228" s="1">
        <v>4.4226037</v>
      </c>
      <c r="F228" s="1">
        <v>4.9984691</v>
      </c>
      <c r="G228" s="1">
        <v>2.2</v>
      </c>
      <c r="H228" s="1">
        <v>-27.205832</v>
      </c>
      <c r="I228" s="1">
        <v>4.9127273</v>
      </c>
      <c r="J228" s="1">
        <v>4.9886364</v>
      </c>
      <c r="K228" s="1">
        <v>4.9686364</v>
      </c>
      <c r="L228" s="1">
        <v>4.7927273</v>
      </c>
      <c r="M228" s="1">
        <v>22730.62</v>
      </c>
      <c r="N228" s="1">
        <v>98.1389319974239</v>
      </c>
      <c r="O228" s="1">
        <v>98.494415</v>
      </c>
      <c r="P228" s="1">
        <v>99.493216</v>
      </c>
      <c r="Q228" s="1">
        <v>98.653159</v>
      </c>
      <c r="R228" s="1">
        <v>99.521719</v>
      </c>
      <c r="S228" s="1">
        <v>96.680413</v>
      </c>
      <c r="T228" s="1">
        <v>93.416153</v>
      </c>
      <c r="U228" s="1">
        <v>98.114031</v>
      </c>
      <c r="V228" s="1">
        <v>98.458655</v>
      </c>
      <c r="W228" s="1">
        <v>99.675696</v>
      </c>
      <c r="X228" s="1">
        <v>105.36447</v>
      </c>
      <c r="Y228" s="4"/>
    </row>
    <row r="229" ht="14.25" customHeight="1">
      <c r="A229" s="1" t="s">
        <v>252</v>
      </c>
      <c r="B229" s="2">
        <v>43449.0</v>
      </c>
      <c r="C229" s="3">
        <v>252.767</v>
      </c>
      <c r="D229" s="1">
        <v>53.4335714285714</v>
      </c>
      <c r="E229" s="1">
        <v>4.4181807</v>
      </c>
      <c r="F229" s="1">
        <v>4.9924032</v>
      </c>
      <c r="G229" s="1">
        <v>2.27</v>
      </c>
      <c r="H229" s="1">
        <v>-15.779648</v>
      </c>
      <c r="I229" s="1">
        <v>4.927619</v>
      </c>
      <c r="J229" s="1">
        <v>5.1157143</v>
      </c>
      <c r="K229" s="1">
        <v>5.1371429</v>
      </c>
      <c r="L229" s="1">
        <v>4.662381</v>
      </c>
      <c r="M229" s="1">
        <v>22783.04</v>
      </c>
      <c r="N229" s="1">
        <v>97.88995352694677</v>
      </c>
      <c r="O229" s="1">
        <v>98.714156</v>
      </c>
      <c r="P229" s="1">
        <v>99.922629</v>
      </c>
      <c r="Q229" s="1">
        <v>98.657105</v>
      </c>
      <c r="R229" s="1">
        <v>99.679162</v>
      </c>
      <c r="S229" s="1">
        <v>96.727206</v>
      </c>
      <c r="T229" s="1">
        <v>98.79328</v>
      </c>
      <c r="U229" s="1">
        <v>97.237284</v>
      </c>
      <c r="V229" s="1">
        <v>98.690426</v>
      </c>
      <c r="W229" s="1">
        <v>99.697625</v>
      </c>
      <c r="X229" s="1">
        <v>100.22184</v>
      </c>
      <c r="Y229" s="4"/>
    </row>
    <row r="230" ht="14.25" customHeight="1">
      <c r="A230" s="1" t="s">
        <v>253</v>
      </c>
      <c r="B230" s="2">
        <v>43480.0</v>
      </c>
      <c r="C230" s="3">
        <v>252.561</v>
      </c>
      <c r="D230" s="1">
        <v>55.5860869565217</v>
      </c>
      <c r="E230" s="1">
        <v>4.4042644</v>
      </c>
      <c r="F230" s="1">
        <v>4.9792747</v>
      </c>
      <c r="G230" s="1">
        <v>2.4</v>
      </c>
      <c r="H230" s="1">
        <v>-38.379103</v>
      </c>
      <c r="I230" s="1">
        <v>5.0352174</v>
      </c>
      <c r="J230" s="1">
        <v>5.2482609</v>
      </c>
      <c r="K230" s="1">
        <v>5.2513043</v>
      </c>
      <c r="L230" s="1">
        <v>4.5913043</v>
      </c>
      <c r="M230" s="1">
        <v>22850.7</v>
      </c>
      <c r="N230" s="1">
        <v>97.98608146131033</v>
      </c>
      <c r="O230" s="1">
        <v>99.390743</v>
      </c>
      <c r="P230" s="1">
        <v>100.31163</v>
      </c>
      <c r="Q230" s="1">
        <v>98.806767</v>
      </c>
      <c r="R230" s="1">
        <v>99.836456</v>
      </c>
      <c r="S230" s="1">
        <v>97.369281</v>
      </c>
      <c r="T230" s="1">
        <v>98.808</v>
      </c>
      <c r="U230" s="1">
        <v>97.578781</v>
      </c>
      <c r="V230" s="1">
        <v>99.023605</v>
      </c>
      <c r="W230" s="1">
        <v>100.02184</v>
      </c>
      <c r="X230" s="1">
        <v>97.177504</v>
      </c>
      <c r="Y230" s="4"/>
    </row>
    <row r="231" ht="14.25" customHeight="1">
      <c r="A231" s="1" t="s">
        <v>254</v>
      </c>
      <c r="B231" s="2">
        <v>43511.0</v>
      </c>
      <c r="C231" s="3">
        <v>253.319</v>
      </c>
      <c r="D231" s="1">
        <v>59.69</v>
      </c>
      <c r="E231" s="1">
        <v>4.4040195</v>
      </c>
      <c r="F231" s="1">
        <v>4.9789597</v>
      </c>
      <c r="G231" s="1">
        <v>2.4</v>
      </c>
      <c r="H231" s="1">
        <v>-90.924954</v>
      </c>
      <c r="I231" s="1">
        <v>4.776</v>
      </c>
      <c r="J231" s="1">
        <v>4.9665</v>
      </c>
      <c r="K231" s="1">
        <v>5.1045</v>
      </c>
      <c r="L231" s="1">
        <v>4.4635</v>
      </c>
      <c r="M231" s="1">
        <v>22902.78</v>
      </c>
      <c r="N231" s="1">
        <v>98.77153789030349</v>
      </c>
      <c r="O231" s="1">
        <v>99.735927</v>
      </c>
      <c r="P231" s="1">
        <v>100.45116</v>
      </c>
      <c r="Q231" s="1">
        <v>98.340301</v>
      </c>
      <c r="R231" s="1">
        <v>100.09593</v>
      </c>
      <c r="S231" s="1">
        <v>99.052894</v>
      </c>
      <c r="T231" s="1">
        <v>98.819462</v>
      </c>
      <c r="U231" s="1">
        <v>98.253148</v>
      </c>
      <c r="V231" s="1">
        <v>99.489908</v>
      </c>
      <c r="W231" s="1">
        <v>100.68499</v>
      </c>
      <c r="X231" s="1">
        <v>97.337166</v>
      </c>
      <c r="Y231" s="4"/>
    </row>
    <row r="232" ht="14.25" customHeight="1">
      <c r="A232" s="1" t="s">
        <v>255</v>
      </c>
      <c r="B232" s="2">
        <v>43539.0</v>
      </c>
      <c r="C232" s="3">
        <v>254.277</v>
      </c>
      <c r="D232" s="1">
        <v>62.5561904761905</v>
      </c>
      <c r="E232" s="1">
        <v>4.4056356</v>
      </c>
      <c r="F232" s="1">
        <v>4.9817846</v>
      </c>
      <c r="G232" s="1">
        <v>2.41</v>
      </c>
      <c r="H232" s="1">
        <v>-83.310805</v>
      </c>
      <c r="I232" s="1">
        <v>4.0395238</v>
      </c>
      <c r="J232" s="1">
        <v>4.287619</v>
      </c>
      <c r="K232" s="1">
        <v>4.6066667</v>
      </c>
      <c r="L232" s="1">
        <v>3.7514286</v>
      </c>
      <c r="M232" s="1">
        <v>22952.73</v>
      </c>
      <c r="N232" s="1">
        <v>98.564512746886</v>
      </c>
      <c r="O232" s="1">
        <v>99.659031</v>
      </c>
      <c r="P232" s="1">
        <v>100.28291</v>
      </c>
      <c r="Q232" s="1">
        <v>98.34689</v>
      </c>
      <c r="R232" s="1">
        <v>100.0624</v>
      </c>
      <c r="S232" s="1">
        <v>97.644857</v>
      </c>
      <c r="T232" s="1">
        <v>98.84891</v>
      </c>
      <c r="U232" s="1">
        <v>99.022372</v>
      </c>
      <c r="V232" s="1">
        <v>99.452997</v>
      </c>
      <c r="W232" s="1">
        <v>100.59769</v>
      </c>
      <c r="X232" s="1">
        <v>99.49737</v>
      </c>
      <c r="Y232" s="4"/>
    </row>
    <row r="233" ht="14.25" customHeight="1">
      <c r="A233" s="1" t="s">
        <v>256</v>
      </c>
      <c r="B233" s="2">
        <v>43570.0</v>
      </c>
      <c r="C233" s="3">
        <v>255.233</v>
      </c>
      <c r="D233" s="1">
        <v>67.6731818181818</v>
      </c>
      <c r="E233" s="1">
        <v>4.4076746</v>
      </c>
      <c r="F233" s="1">
        <v>4.9866657</v>
      </c>
      <c r="G233" s="1">
        <v>2.42</v>
      </c>
      <c r="H233" s="1">
        <v>-70.723545</v>
      </c>
      <c r="I233" s="1">
        <v>4.0954545</v>
      </c>
      <c r="J233" s="1">
        <v>4.3286364</v>
      </c>
      <c r="K233" s="1">
        <v>4.5213636</v>
      </c>
      <c r="L233" s="1">
        <v>3.7640909</v>
      </c>
      <c r="M233" s="1">
        <v>22996.75</v>
      </c>
      <c r="N233" s="1">
        <v>98.8697670428627</v>
      </c>
      <c r="O233" s="1">
        <v>99.733974</v>
      </c>
      <c r="P233" s="1">
        <v>100.34027</v>
      </c>
      <c r="Q233" s="1">
        <v>98.398325</v>
      </c>
      <c r="R233" s="1">
        <v>100.17247</v>
      </c>
      <c r="S233" s="1">
        <v>97.092773</v>
      </c>
      <c r="T233" s="1">
        <v>98.861464</v>
      </c>
      <c r="U233" s="1">
        <v>99.620566</v>
      </c>
      <c r="V233" s="1">
        <v>99.60337</v>
      </c>
      <c r="W233" s="1">
        <v>100.69879</v>
      </c>
      <c r="X233" s="1">
        <v>103.76829</v>
      </c>
      <c r="Y233" s="4"/>
    </row>
    <row r="234" ht="14.25" customHeight="1">
      <c r="A234" s="1" t="s">
        <v>257</v>
      </c>
      <c r="B234" s="2">
        <v>43600.0</v>
      </c>
      <c r="C234" s="3">
        <v>255.296</v>
      </c>
      <c r="D234" s="1">
        <v>65.5645652173913</v>
      </c>
      <c r="E234" s="1">
        <v>4.4118825</v>
      </c>
      <c r="F234" s="1">
        <v>4.9936755</v>
      </c>
      <c r="G234" s="1">
        <v>2.39</v>
      </c>
      <c r="H234" s="1">
        <v>-41.30538</v>
      </c>
      <c r="I234" s="1">
        <v>3.783913</v>
      </c>
      <c r="J234" s="1">
        <v>4.2095652</v>
      </c>
      <c r="K234" s="1">
        <v>4.453913</v>
      </c>
      <c r="L234" s="1">
        <v>3.286087</v>
      </c>
      <c r="M234" s="1">
        <v>23054.54</v>
      </c>
      <c r="N234" s="1">
        <v>99.35719499438378</v>
      </c>
      <c r="O234" s="1">
        <v>99.908808</v>
      </c>
      <c r="P234" s="1">
        <v>100.46559</v>
      </c>
      <c r="Q234" s="1">
        <v>98.452149</v>
      </c>
      <c r="R234" s="1">
        <v>100.28486</v>
      </c>
      <c r="S234" s="1">
        <v>97.140251</v>
      </c>
      <c r="T234" s="1">
        <v>98.798983</v>
      </c>
      <c r="U234" s="1">
        <v>100.8976</v>
      </c>
      <c r="V234" s="1">
        <v>99.735245</v>
      </c>
      <c r="W234" s="1">
        <v>100.80161</v>
      </c>
      <c r="X234" s="1">
        <v>106.50581</v>
      </c>
      <c r="Y234" s="4"/>
    </row>
    <row r="235" ht="14.25" customHeight="1">
      <c r="A235" s="1" t="s">
        <v>258</v>
      </c>
      <c r="B235" s="2">
        <v>43631.0</v>
      </c>
      <c r="C235" s="3">
        <v>255.213</v>
      </c>
      <c r="D235" s="1">
        <v>58.93725</v>
      </c>
      <c r="E235" s="1">
        <v>4.4042417</v>
      </c>
      <c r="F235" s="1">
        <v>4.9851329</v>
      </c>
      <c r="G235" s="1">
        <v>2.38</v>
      </c>
      <c r="H235" s="1">
        <v>-28.584318</v>
      </c>
      <c r="I235" s="1">
        <v>3.7495</v>
      </c>
      <c r="J235" s="1">
        <v>4.2325</v>
      </c>
      <c r="K235" s="1">
        <v>4.477</v>
      </c>
      <c r="L235" s="1">
        <v>3.277</v>
      </c>
      <c r="M235" s="1">
        <v>23059.68</v>
      </c>
      <c r="N235" s="1">
        <v>99.26558766059948</v>
      </c>
      <c r="O235" s="1">
        <v>100.2431</v>
      </c>
      <c r="P235" s="1">
        <v>100.60996</v>
      </c>
      <c r="Q235" s="1">
        <v>98.674257</v>
      </c>
      <c r="R235" s="1">
        <v>100.42747</v>
      </c>
      <c r="S235" s="1">
        <v>97.261385</v>
      </c>
      <c r="T235" s="1">
        <v>98.844925</v>
      </c>
      <c r="U235" s="1">
        <v>100.69369</v>
      </c>
      <c r="V235" s="1">
        <v>99.88016</v>
      </c>
      <c r="W235" s="1">
        <v>101.0015</v>
      </c>
      <c r="X235" s="1">
        <v>104.6673</v>
      </c>
      <c r="Y235" s="4"/>
    </row>
    <row r="236" ht="14.25" customHeight="1">
      <c r="A236" s="1" t="s">
        <v>259</v>
      </c>
      <c r="B236" s="2">
        <v>43661.0</v>
      </c>
      <c r="C236" s="3">
        <v>255.802</v>
      </c>
      <c r="D236" s="1">
        <v>60.8491304347826</v>
      </c>
      <c r="E236" s="1">
        <v>4.403989</v>
      </c>
      <c r="F236" s="1">
        <v>4.9857832</v>
      </c>
      <c r="G236" s="1">
        <v>2.4</v>
      </c>
      <c r="H236" s="1">
        <v>17.926696</v>
      </c>
      <c r="I236" s="1">
        <v>3.586087</v>
      </c>
      <c r="J236" s="1">
        <v>4.1004348</v>
      </c>
      <c r="K236" s="1">
        <v>4.4278261</v>
      </c>
      <c r="L236" s="1">
        <v>3.056087</v>
      </c>
      <c r="M236" s="1">
        <v>23068.81</v>
      </c>
      <c r="N236" s="1">
        <v>99.44585396779111</v>
      </c>
      <c r="O236" s="1">
        <v>100.3675</v>
      </c>
      <c r="P236" s="1">
        <v>100.71148</v>
      </c>
      <c r="Q236" s="1">
        <v>98.893116</v>
      </c>
      <c r="R236" s="1">
        <v>100.50761</v>
      </c>
      <c r="S236" s="1">
        <v>97.581667</v>
      </c>
      <c r="T236" s="1">
        <v>98.859851</v>
      </c>
      <c r="U236" s="1">
        <v>100.66348</v>
      </c>
      <c r="V236" s="1">
        <v>100.82343</v>
      </c>
      <c r="W236" s="1">
        <v>101.15209</v>
      </c>
      <c r="X236" s="1">
        <v>104.63716</v>
      </c>
      <c r="Y236" s="4"/>
    </row>
    <row r="237" ht="14.25" customHeight="1">
      <c r="A237" s="1" t="s">
        <v>260</v>
      </c>
      <c r="B237" s="2">
        <v>43692.0</v>
      </c>
      <c r="C237" s="3">
        <v>256.036</v>
      </c>
      <c r="D237" s="1">
        <v>57.2243181818181</v>
      </c>
      <c r="E237" s="1">
        <v>4.4112191</v>
      </c>
      <c r="F237" s="1">
        <v>4.994093</v>
      </c>
      <c r="G237" s="1">
        <v>2.13</v>
      </c>
      <c r="H237" s="1">
        <v>23.762107</v>
      </c>
      <c r="I237" s="1">
        <v>3.5895455</v>
      </c>
      <c r="J237" s="1">
        <v>4.085</v>
      </c>
      <c r="K237" s="1">
        <v>4.4168182</v>
      </c>
      <c r="L237" s="1">
        <v>3.2295455</v>
      </c>
      <c r="M237" s="1">
        <v>23114.56</v>
      </c>
      <c r="N237" s="1">
        <v>99.72440180475436</v>
      </c>
      <c r="O237" s="1">
        <v>100.39942</v>
      </c>
      <c r="P237" s="1">
        <v>100.80333</v>
      </c>
      <c r="Q237" s="1">
        <v>99.459279</v>
      </c>
      <c r="R237" s="1">
        <v>100.55505</v>
      </c>
      <c r="S237" s="1">
        <v>97.814887</v>
      </c>
      <c r="T237" s="1">
        <v>101.63376</v>
      </c>
      <c r="U237" s="1">
        <v>100.99305</v>
      </c>
      <c r="V237" s="1">
        <v>100.96498</v>
      </c>
      <c r="W237" s="1">
        <v>101.0918</v>
      </c>
      <c r="X237" s="1">
        <v>104.16095</v>
      </c>
      <c r="Y237" s="4"/>
    </row>
    <row r="238" ht="14.25" customHeight="1">
      <c r="A238" s="1" t="s">
        <v>261</v>
      </c>
      <c r="B238" s="2">
        <v>43723.0</v>
      </c>
      <c r="C238" s="3">
        <v>256.43</v>
      </c>
      <c r="D238" s="1">
        <v>59.6454761904762</v>
      </c>
      <c r="E238" s="1">
        <v>4.4134294</v>
      </c>
      <c r="F238" s="1">
        <v>4.9978064</v>
      </c>
      <c r="G238" s="1">
        <v>2.04</v>
      </c>
      <c r="H238" s="1">
        <v>36.654872</v>
      </c>
      <c r="I238" s="1">
        <v>3.6033333</v>
      </c>
      <c r="J238" s="1">
        <v>4.2395238</v>
      </c>
      <c r="K238" s="1">
        <v>4.47</v>
      </c>
      <c r="L238" s="1">
        <v>2.94</v>
      </c>
      <c r="M238" s="1">
        <v>23142.04</v>
      </c>
      <c r="N238" s="1">
        <v>100.038832843645</v>
      </c>
      <c r="O238" s="1">
        <v>100.46006</v>
      </c>
      <c r="P238" s="1">
        <v>100.89062</v>
      </c>
      <c r="Q238" s="1">
        <v>102.58966</v>
      </c>
      <c r="R238" s="1">
        <v>100.68436</v>
      </c>
      <c r="S238" s="1">
        <v>98.357857</v>
      </c>
      <c r="T238" s="1">
        <v>101.62847</v>
      </c>
      <c r="U238" s="1">
        <v>101.11536</v>
      </c>
      <c r="V238" s="1">
        <v>101.21346</v>
      </c>
      <c r="W238" s="1">
        <v>101.15488</v>
      </c>
      <c r="X238" s="1">
        <v>102.86519</v>
      </c>
      <c r="Y238" s="4"/>
    </row>
    <row r="239" ht="14.25" customHeight="1">
      <c r="A239" s="1" t="s">
        <v>262</v>
      </c>
      <c r="B239" s="2">
        <v>43753.0</v>
      </c>
      <c r="C239" s="3">
        <v>257.155</v>
      </c>
      <c r="D239" s="1">
        <v>56.7960869565217</v>
      </c>
      <c r="E239" s="1">
        <v>4.4090701</v>
      </c>
      <c r="F239" s="1">
        <v>4.9977748</v>
      </c>
      <c r="G239" s="1">
        <v>1.83</v>
      </c>
      <c r="H239" s="1">
        <v>15.43208</v>
      </c>
      <c r="I239" s="1">
        <v>2.7347826</v>
      </c>
      <c r="J239" s="1">
        <v>4.1426087</v>
      </c>
      <c r="K239" s="1">
        <v>4.3517391</v>
      </c>
      <c r="L239" s="1">
        <v>1.9904348</v>
      </c>
      <c r="M239" s="1">
        <v>23154.63</v>
      </c>
      <c r="N239" s="1">
        <v>100.6241600546135</v>
      </c>
      <c r="O239" s="1">
        <v>100.50206</v>
      </c>
      <c r="P239" s="1">
        <v>100.95045</v>
      </c>
      <c r="Q239" s="1">
        <v>102.78961</v>
      </c>
      <c r="R239" s="1">
        <v>100.77175</v>
      </c>
      <c r="S239" s="1">
        <v>99.38373</v>
      </c>
      <c r="T239" s="1">
        <v>101.66516</v>
      </c>
      <c r="U239" s="1">
        <v>101.64682</v>
      </c>
      <c r="V239" s="1">
        <v>101.38572</v>
      </c>
      <c r="W239" s="1">
        <v>101.27354</v>
      </c>
      <c r="X239" s="1">
        <v>103.88109</v>
      </c>
      <c r="Y239" s="4"/>
    </row>
    <row r="240" ht="14.25" customHeight="1">
      <c r="A240" s="1" t="s">
        <v>263</v>
      </c>
      <c r="B240" s="2">
        <v>43784.0</v>
      </c>
      <c r="C240" s="3">
        <v>257.879</v>
      </c>
      <c r="D240" s="1">
        <v>59.6821428571429</v>
      </c>
      <c r="E240" s="1">
        <v>4.4068529</v>
      </c>
      <c r="F240" s="1">
        <v>5.0034295</v>
      </c>
      <c r="G240" s="1">
        <v>1.55</v>
      </c>
      <c r="H240" s="1">
        <v>-9.8377487</v>
      </c>
      <c r="I240" s="1">
        <v>3.0666667</v>
      </c>
      <c r="J240" s="1">
        <v>4.2466667</v>
      </c>
      <c r="K240" s="1">
        <v>4.4447619</v>
      </c>
      <c r="L240" s="1">
        <v>2.5809524</v>
      </c>
      <c r="M240" s="1">
        <v>23143.46</v>
      </c>
      <c r="N240" s="1">
        <v>101.5927682192987</v>
      </c>
      <c r="O240" s="1">
        <v>100.70798</v>
      </c>
      <c r="P240" s="1">
        <v>101.07341</v>
      </c>
      <c r="Q240" s="1">
        <v>102.83042</v>
      </c>
      <c r="R240" s="1">
        <v>100.87414</v>
      </c>
      <c r="S240" s="1">
        <v>102.10515</v>
      </c>
      <c r="T240" s="1">
        <v>101.70928</v>
      </c>
      <c r="U240" s="1">
        <v>101.77672</v>
      </c>
      <c r="V240" s="1">
        <v>101.54703</v>
      </c>
      <c r="W240" s="1">
        <v>101.29957</v>
      </c>
      <c r="X240" s="1">
        <v>103.1211</v>
      </c>
      <c r="Y240" s="4"/>
    </row>
    <row r="241" ht="14.25" customHeight="1">
      <c r="A241" s="1" t="s">
        <v>264</v>
      </c>
      <c r="B241" s="2">
        <v>43814.0</v>
      </c>
      <c r="C241" s="3">
        <v>258.63</v>
      </c>
      <c r="D241" s="1">
        <v>62.6079545454545</v>
      </c>
      <c r="E241" s="1">
        <v>4.4032538</v>
      </c>
      <c r="F241" s="1">
        <v>5.0108108</v>
      </c>
      <c r="G241" s="1">
        <v>1.55</v>
      </c>
      <c r="H241" s="1">
        <v>-12.702285</v>
      </c>
      <c r="I241" s="1">
        <v>4.0318182</v>
      </c>
      <c r="J241" s="1">
        <v>4.3390909</v>
      </c>
      <c r="K241" s="1">
        <v>4.5513636</v>
      </c>
      <c r="L241" s="1">
        <v>3.0472727</v>
      </c>
      <c r="M241" s="1">
        <v>23162.22</v>
      </c>
      <c r="N241" s="1">
        <v>103.0140510466867</v>
      </c>
      <c r="O241" s="1">
        <v>100.95512</v>
      </c>
      <c r="P241" s="1">
        <v>101.40998</v>
      </c>
      <c r="Q241" s="1">
        <v>102.84533</v>
      </c>
      <c r="R241" s="1">
        <v>101.01405</v>
      </c>
      <c r="S241" s="1">
        <v>105.59327</v>
      </c>
      <c r="T241" s="1">
        <v>101.74448</v>
      </c>
      <c r="U241" s="1">
        <v>102.21111</v>
      </c>
      <c r="V241" s="1">
        <v>101.78932</v>
      </c>
      <c r="W241" s="1">
        <v>101.3956</v>
      </c>
      <c r="X241" s="1">
        <v>103.75137</v>
      </c>
      <c r="Y241" s="4"/>
    </row>
    <row r="242" ht="14.25" customHeight="1">
      <c r="A242" s="1" t="s">
        <v>265</v>
      </c>
      <c r="B242" s="2">
        <v>43845.0</v>
      </c>
      <c r="C242" s="3">
        <v>258.906</v>
      </c>
      <c r="D242" s="1">
        <v>60.8078260869565</v>
      </c>
      <c r="E242" s="1">
        <v>4.4006298</v>
      </c>
      <c r="F242" s="1">
        <v>5.0185982</v>
      </c>
      <c r="G242" s="1">
        <v>1.55</v>
      </c>
      <c r="H242" s="1">
        <v>-80.505691</v>
      </c>
      <c r="I242" s="1">
        <v>3.5726087</v>
      </c>
      <c r="J242" s="1">
        <v>3.9673913</v>
      </c>
      <c r="K242" s="1">
        <v>4.4021739</v>
      </c>
      <c r="L242" s="1">
        <v>2.2882609</v>
      </c>
      <c r="M242" s="1">
        <v>23164.3</v>
      </c>
      <c r="N242" s="1">
        <v>104.2840082679908</v>
      </c>
      <c r="O242" s="1">
        <v>101.61234</v>
      </c>
      <c r="P242" s="1">
        <v>101.749</v>
      </c>
      <c r="Q242" s="1">
        <v>102.86723</v>
      </c>
      <c r="R242" s="1">
        <v>101.2881</v>
      </c>
      <c r="S242" s="1">
        <v>108.00893</v>
      </c>
      <c r="T242" s="1">
        <v>101.9148</v>
      </c>
      <c r="U242" s="1">
        <v>103.71739</v>
      </c>
      <c r="V242" s="1">
        <v>102.72079</v>
      </c>
      <c r="W242" s="1">
        <v>101.65264</v>
      </c>
      <c r="X242" s="1">
        <v>104.46311</v>
      </c>
      <c r="Y242" s="4"/>
    </row>
    <row r="243" ht="14.25" customHeight="1">
      <c r="A243" s="1" t="s">
        <v>266</v>
      </c>
      <c r="B243" s="2">
        <v>43876.0</v>
      </c>
      <c r="C243" s="3">
        <v>259.246</v>
      </c>
      <c r="D243" s="1">
        <v>53.1495</v>
      </c>
      <c r="E243" s="1">
        <v>4.4122611</v>
      </c>
      <c r="F243" s="1">
        <v>5.0239858</v>
      </c>
      <c r="G243" s="1">
        <v>1.58</v>
      </c>
      <c r="H243" s="1">
        <v>-122.33332</v>
      </c>
      <c r="I243" s="1">
        <v>2.9815</v>
      </c>
      <c r="J243" s="1">
        <v>3.584</v>
      </c>
      <c r="K243" s="1">
        <v>4.124</v>
      </c>
      <c r="L243" s="1">
        <v>2.3645</v>
      </c>
      <c r="M243" s="1">
        <v>23218.2</v>
      </c>
      <c r="N243" s="1">
        <v>104.1098539741828</v>
      </c>
      <c r="O243" s="1">
        <v>101.32508</v>
      </c>
      <c r="P243" s="1">
        <v>101.62171</v>
      </c>
      <c r="Q243" s="1">
        <v>102.91105</v>
      </c>
      <c r="R243" s="1">
        <v>101.36761</v>
      </c>
      <c r="S243" s="1">
        <v>108.28511</v>
      </c>
      <c r="T243" s="1">
        <v>102.0427</v>
      </c>
      <c r="U243" s="1">
        <v>103.68627</v>
      </c>
      <c r="V243" s="1">
        <v>102.8948</v>
      </c>
      <c r="W243" s="1">
        <v>101.22</v>
      </c>
      <c r="X243" s="1">
        <v>101.85289</v>
      </c>
      <c r="Y243" s="4"/>
    </row>
    <row r="244" ht="14.25" customHeight="1">
      <c r="A244" s="1" t="s">
        <v>267</v>
      </c>
      <c r="B244" s="2">
        <v>43905.0</v>
      </c>
      <c r="C244" s="3">
        <v>258.15</v>
      </c>
      <c r="D244" s="1">
        <v>31.6338636363636</v>
      </c>
      <c r="E244" s="1">
        <v>4.4178982</v>
      </c>
      <c r="F244" s="1">
        <v>5.0285307</v>
      </c>
      <c r="G244" s="1">
        <v>0.65</v>
      </c>
      <c r="H244" s="1">
        <v>-95.21435</v>
      </c>
      <c r="I244" s="1">
        <v>2.6963636</v>
      </c>
      <c r="J244" s="1">
        <v>3.2331818</v>
      </c>
      <c r="K244" s="1">
        <v>3.9490909</v>
      </c>
      <c r="L244" s="1">
        <v>2.155</v>
      </c>
      <c r="M244" s="1">
        <v>23223.42</v>
      </c>
      <c r="N244" s="1">
        <v>103.36317810148</v>
      </c>
      <c r="O244" s="1">
        <v>101.21747</v>
      </c>
      <c r="P244" s="1">
        <v>101.47222</v>
      </c>
      <c r="Q244" s="1">
        <v>102.95561</v>
      </c>
      <c r="R244" s="1">
        <v>101.45743</v>
      </c>
      <c r="S244" s="1">
        <v>107.82425</v>
      </c>
      <c r="T244" s="1">
        <v>102.09311</v>
      </c>
      <c r="U244" s="1">
        <v>103.42955</v>
      </c>
      <c r="V244" s="1">
        <v>103.0546</v>
      </c>
      <c r="W244" s="1">
        <v>99.804137</v>
      </c>
      <c r="X244" s="1">
        <v>96.89204</v>
      </c>
      <c r="Y244" s="4"/>
    </row>
    <row r="245" ht="14.25" customHeight="1">
      <c r="A245" s="1" t="s">
        <v>268</v>
      </c>
      <c r="B245" s="2">
        <v>43936.0</v>
      </c>
      <c r="C245" s="3">
        <v>256.126</v>
      </c>
      <c r="D245" s="1">
        <v>21.9118181818182</v>
      </c>
      <c r="E245" s="1">
        <v>4.4281789</v>
      </c>
      <c r="F245" s="1">
        <v>5.0308757</v>
      </c>
      <c r="G245" s="1">
        <v>0.05</v>
      </c>
      <c r="H245" s="1">
        <v>-84.290518</v>
      </c>
      <c r="I245" s="1">
        <v>2.9377273</v>
      </c>
      <c r="J245" s="1">
        <v>3.3463636</v>
      </c>
      <c r="K245" s="1">
        <v>3.8022727</v>
      </c>
      <c r="L245" s="1">
        <v>2.3477273</v>
      </c>
      <c r="M245" s="1">
        <v>23241.5</v>
      </c>
      <c r="N245" s="1">
        <v>101.7683876265519</v>
      </c>
      <c r="O245" s="1">
        <v>101.3528</v>
      </c>
      <c r="P245" s="1">
        <v>101.29678</v>
      </c>
      <c r="Q245" s="1">
        <v>102.95716</v>
      </c>
      <c r="R245" s="1">
        <v>101.52317</v>
      </c>
      <c r="S245" s="1">
        <v>108.53049</v>
      </c>
      <c r="T245" s="1">
        <v>102.1219</v>
      </c>
      <c r="U245" s="1">
        <v>101.02274</v>
      </c>
      <c r="V245" s="1">
        <v>102.92527</v>
      </c>
      <c r="W245" s="1">
        <v>99.403024</v>
      </c>
      <c r="X245" s="1">
        <v>83.459993</v>
      </c>
      <c r="Y245" s="4"/>
    </row>
    <row r="246" ht="14.25" customHeight="1">
      <c r="A246" s="1" t="s">
        <v>269</v>
      </c>
      <c r="B246" s="2">
        <v>43966.0</v>
      </c>
      <c r="C246" s="3">
        <v>255.848</v>
      </c>
      <c r="D246" s="1">
        <v>30.6019047619047</v>
      </c>
      <c r="E246" s="1">
        <v>4.4228465</v>
      </c>
      <c r="F246" s="1">
        <v>5.0258778</v>
      </c>
      <c r="G246" s="1">
        <v>0.05</v>
      </c>
      <c r="H246" s="1">
        <v>-114.6302</v>
      </c>
      <c r="I246" s="1">
        <v>2.0252381</v>
      </c>
      <c r="J246" s="1">
        <v>2.8590476</v>
      </c>
      <c r="K246" s="1">
        <v>3.5266667</v>
      </c>
      <c r="L246" s="1">
        <v>1.2052381</v>
      </c>
      <c r="M246" s="1">
        <v>23256.5</v>
      </c>
      <c r="N246" s="1">
        <v>101.7376535734893</v>
      </c>
      <c r="O246" s="1">
        <v>101.61095</v>
      </c>
      <c r="P246" s="1">
        <v>101.28877</v>
      </c>
      <c r="Q246" s="1">
        <v>102.96179</v>
      </c>
      <c r="R246" s="1">
        <v>101.57728</v>
      </c>
      <c r="S246" s="1">
        <v>108.9033</v>
      </c>
      <c r="T246" s="1">
        <v>102.16755</v>
      </c>
      <c r="U246" s="1">
        <v>101.2756</v>
      </c>
      <c r="V246" s="1">
        <v>102.99227</v>
      </c>
      <c r="W246" s="1">
        <v>99.378571</v>
      </c>
      <c r="X246" s="1">
        <v>81.617947</v>
      </c>
      <c r="Y246" s="4"/>
    </row>
    <row r="247" ht="14.25" customHeight="1">
      <c r="A247" s="1" t="s">
        <v>270</v>
      </c>
      <c r="B247" s="2">
        <v>43997.0</v>
      </c>
      <c r="C247" s="3">
        <v>257.004</v>
      </c>
      <c r="D247" s="1">
        <v>39.5875</v>
      </c>
      <c r="E247" s="1">
        <v>4.4060943</v>
      </c>
      <c r="F247" s="1">
        <v>5.0124061</v>
      </c>
      <c r="G247" s="1">
        <v>0.08</v>
      </c>
      <c r="H247" s="1">
        <v>-29.734374</v>
      </c>
      <c r="I247" s="1">
        <v>0.98</v>
      </c>
      <c r="J247" s="1">
        <v>2.3368182</v>
      </c>
      <c r="K247" s="1">
        <v>3.2859091</v>
      </c>
      <c r="L247" s="1">
        <v>0.26454545</v>
      </c>
      <c r="M247" s="1">
        <v>23235.92</v>
      </c>
      <c r="N247" s="1">
        <v>102.4074942846171</v>
      </c>
      <c r="O247" s="1">
        <v>101.70616</v>
      </c>
      <c r="P247" s="1">
        <v>101.29171</v>
      </c>
      <c r="Q247" s="1">
        <v>102.9724</v>
      </c>
      <c r="R247" s="1">
        <v>101.64798</v>
      </c>
      <c r="S247" s="1">
        <v>109.37975</v>
      </c>
      <c r="T247" s="1">
        <v>102.17868</v>
      </c>
      <c r="U247" s="1">
        <v>100.85116</v>
      </c>
      <c r="V247" s="1">
        <v>103.18868</v>
      </c>
      <c r="W247" s="1">
        <v>99.367142</v>
      </c>
      <c r="X247" s="1">
        <v>86.55567</v>
      </c>
      <c r="Y247" s="4"/>
    </row>
    <row r="248" ht="14.25" customHeight="1">
      <c r="A248" s="1" t="s">
        <v>271</v>
      </c>
      <c r="B248" s="2">
        <v>44027.0</v>
      </c>
      <c r="C248" s="3">
        <v>258.408</v>
      </c>
      <c r="D248" s="1">
        <v>42.0054347826086</v>
      </c>
      <c r="E248" s="1">
        <v>4.3976832</v>
      </c>
      <c r="F248" s="1">
        <v>5.0050622</v>
      </c>
      <c r="G248" s="1">
        <v>0.09</v>
      </c>
      <c r="H248" s="1">
        <v>5.3430313</v>
      </c>
      <c r="I248" s="1">
        <v>0.63869565</v>
      </c>
      <c r="J248" s="1">
        <v>1.9578261</v>
      </c>
      <c r="K248" s="1">
        <v>3.0986957</v>
      </c>
      <c r="L248" s="1">
        <v>0.19695652</v>
      </c>
      <c r="M248" s="1">
        <v>23222.56</v>
      </c>
      <c r="N248" s="1">
        <v>102.816407409295</v>
      </c>
      <c r="O248" s="1">
        <v>101.72436</v>
      </c>
      <c r="P248" s="1">
        <v>101.35502</v>
      </c>
      <c r="Q248" s="1">
        <v>102.99536</v>
      </c>
      <c r="R248" s="1">
        <v>101.72178</v>
      </c>
      <c r="S248" s="1">
        <v>109.18188</v>
      </c>
      <c r="T248" s="1">
        <v>102.203</v>
      </c>
      <c r="U248" s="1">
        <v>101.32627</v>
      </c>
      <c r="V248" s="1">
        <v>103.36234</v>
      </c>
      <c r="W248" s="1">
        <v>99.665641</v>
      </c>
      <c r="X248" s="1">
        <v>89.943199</v>
      </c>
      <c r="Y248" s="4"/>
    </row>
    <row r="249" ht="14.25" customHeight="1">
      <c r="A249" s="1" t="s">
        <v>272</v>
      </c>
      <c r="B249" s="2">
        <v>44058.0</v>
      </c>
      <c r="C249" s="3">
        <v>259.366</v>
      </c>
      <c r="D249" s="1">
        <v>43.7261904761905</v>
      </c>
      <c r="E249" s="1">
        <v>4.3835837</v>
      </c>
      <c r="F249" s="1">
        <v>4.9913552</v>
      </c>
      <c r="G249" s="1">
        <v>0.1</v>
      </c>
      <c r="H249" s="1">
        <v>-2.3642593</v>
      </c>
      <c r="I249" s="1">
        <v>0.58047619</v>
      </c>
      <c r="J249" s="1">
        <v>1.6733333</v>
      </c>
      <c r="K249" s="1">
        <v>2.9138095</v>
      </c>
      <c r="L249" s="1">
        <v>0.21761905</v>
      </c>
      <c r="M249" s="1">
        <v>23209.0</v>
      </c>
      <c r="N249" s="1">
        <v>102.8928</v>
      </c>
      <c r="O249" s="1">
        <v>101.7738</v>
      </c>
      <c r="P249" s="1">
        <v>101.3237</v>
      </c>
      <c r="Q249" s="1">
        <v>103.179</v>
      </c>
      <c r="R249" s="1">
        <v>101.7173</v>
      </c>
      <c r="S249" s="1">
        <v>109.3034</v>
      </c>
      <c r="T249" s="1">
        <v>102.2261</v>
      </c>
      <c r="U249" s="1">
        <v>101.4282</v>
      </c>
      <c r="V249" s="1">
        <v>103.567</v>
      </c>
      <c r="W249" s="1">
        <v>99.4692</v>
      </c>
      <c r="X249" s="1">
        <v>90.0371</v>
      </c>
      <c r="Y249" s="4"/>
    </row>
    <row r="250" ht="14.25" customHeight="1">
      <c r="A250" s="1" t="s">
        <v>273</v>
      </c>
      <c r="B250" s="2">
        <v>44089.0</v>
      </c>
      <c r="C250" s="3">
        <v>259.951</v>
      </c>
      <c r="D250" s="1">
        <v>40.7625</v>
      </c>
      <c r="E250" s="1">
        <v>4.3828484</v>
      </c>
      <c r="F250" s="1">
        <v>4.9913898</v>
      </c>
      <c r="G250" s="1">
        <v>0.09</v>
      </c>
      <c r="H250" s="1">
        <v>-9.6150921</v>
      </c>
      <c r="I250" s="1">
        <v>0.47454545</v>
      </c>
      <c r="J250" s="1">
        <v>1.4463636</v>
      </c>
      <c r="K250" s="1">
        <v>2.8022727</v>
      </c>
      <c r="L250" s="1">
        <v>0.16636364</v>
      </c>
      <c r="M250" s="1">
        <v>23206.84</v>
      </c>
      <c r="N250" s="1">
        <v>103.020901536</v>
      </c>
      <c r="O250" s="1">
        <v>101.82509</v>
      </c>
      <c r="P250" s="1">
        <v>101.42472</v>
      </c>
      <c r="Q250" s="1">
        <v>105.32244</v>
      </c>
      <c r="R250" s="1">
        <v>101.66125</v>
      </c>
      <c r="S250" s="1">
        <v>108.96817</v>
      </c>
      <c r="T250" s="1">
        <v>102.23602</v>
      </c>
      <c r="U250" s="1">
        <v>102.06081</v>
      </c>
      <c r="V250" s="1">
        <v>103.58937</v>
      </c>
      <c r="W250" s="1">
        <v>99.267278</v>
      </c>
      <c r="X250" s="1">
        <v>89.933197</v>
      </c>
      <c r="Y250" s="4"/>
    </row>
    <row r="251" ht="14.25" customHeight="1">
      <c r="A251" s="1" t="s">
        <v>274</v>
      </c>
      <c r="B251" s="2">
        <v>44119.0</v>
      </c>
      <c r="C251" s="3">
        <v>260.249</v>
      </c>
      <c r="D251" s="1">
        <v>40.5059090909091</v>
      </c>
      <c r="E251" s="1">
        <v>4.3792107</v>
      </c>
      <c r="F251" s="1">
        <v>4.9891027</v>
      </c>
      <c r="G251" s="1">
        <v>0.09</v>
      </c>
      <c r="H251" s="1">
        <v>4.9403639</v>
      </c>
      <c r="I251" s="1">
        <v>0.40590909</v>
      </c>
      <c r="J251" s="1">
        <v>1.3222727</v>
      </c>
      <c r="K251" s="1">
        <v>2.7177273</v>
      </c>
      <c r="L251" s="1">
        <v>0.14545455</v>
      </c>
      <c r="M251" s="1">
        <v>23197.22</v>
      </c>
      <c r="N251" s="1">
        <v>103.1093964904194</v>
      </c>
      <c r="O251" s="1">
        <v>101.90309</v>
      </c>
      <c r="P251" s="1">
        <v>101.4872</v>
      </c>
      <c r="Q251" s="1">
        <v>106.74514</v>
      </c>
      <c r="R251" s="1">
        <v>101.65861</v>
      </c>
      <c r="S251" s="1">
        <v>108.82215</v>
      </c>
      <c r="T251" s="1">
        <v>102.24818</v>
      </c>
      <c r="U251" s="1">
        <v>102.36148</v>
      </c>
      <c r="V251" s="1">
        <v>103.68312</v>
      </c>
      <c r="W251" s="1">
        <v>99.087802</v>
      </c>
      <c r="X251" s="1">
        <v>89.865298</v>
      </c>
      <c r="Y251" s="4"/>
    </row>
    <row r="252" ht="14.25" customHeight="1">
      <c r="A252" s="1" t="s">
        <v>275</v>
      </c>
      <c r="B252" s="2">
        <v>44150.0</v>
      </c>
      <c r="C252" s="3">
        <v>260.895</v>
      </c>
      <c r="D252" s="1">
        <v>42.7195238095238</v>
      </c>
      <c r="E252" s="1">
        <v>4.3700191</v>
      </c>
      <c r="F252" s="1">
        <v>4.9781786</v>
      </c>
      <c r="G252" s="1">
        <v>0.09</v>
      </c>
      <c r="H252" s="1">
        <v>-27.465012</v>
      </c>
      <c r="I252" s="1">
        <v>0.37666667</v>
      </c>
      <c r="J252" s="1">
        <v>1.237619</v>
      </c>
      <c r="K252" s="1">
        <v>2.6714286</v>
      </c>
      <c r="L252" s="1">
        <v>0.14666667</v>
      </c>
      <c r="M252" s="1">
        <v>23178.96</v>
      </c>
      <c r="N252" s="1">
        <v>103.1007353011142</v>
      </c>
      <c r="O252" s="1">
        <v>101.96699</v>
      </c>
      <c r="P252" s="1">
        <v>101.63232</v>
      </c>
      <c r="Q252" s="1">
        <v>106.74909</v>
      </c>
      <c r="R252" s="1">
        <v>101.68768</v>
      </c>
      <c r="S252" s="1">
        <v>108.87525</v>
      </c>
      <c r="T252" s="1">
        <v>102.25329</v>
      </c>
      <c r="U252" s="1">
        <v>102.42975</v>
      </c>
      <c r="V252" s="1">
        <v>103.80557</v>
      </c>
      <c r="W252" s="1">
        <v>99.031124</v>
      </c>
      <c r="X252" s="1">
        <v>89.438977</v>
      </c>
      <c r="Y252" s="4"/>
    </row>
    <row r="253" ht="14.25" customHeight="1">
      <c r="A253" s="1" t="s">
        <v>276</v>
      </c>
      <c r="B253" s="2">
        <v>44180.0</v>
      </c>
      <c r="C253" s="3">
        <v>262.005</v>
      </c>
      <c r="D253" s="1">
        <v>48.7236956521739</v>
      </c>
      <c r="E253" s="1">
        <v>4.355429</v>
      </c>
      <c r="F253" s="1">
        <v>4.9624225</v>
      </c>
      <c r="G253" s="1">
        <v>0.09</v>
      </c>
      <c r="H253" s="1">
        <v>-22.48592</v>
      </c>
      <c r="I253" s="1">
        <v>0.40130435</v>
      </c>
      <c r="J253" s="1">
        <v>1.2430435</v>
      </c>
      <c r="K253" s="1">
        <v>2.6017391</v>
      </c>
      <c r="L253" s="1">
        <v>0.15</v>
      </c>
      <c r="M253" s="1">
        <v>23146.0</v>
      </c>
      <c r="N253" s="1">
        <v>103.2067228570038</v>
      </c>
      <c r="O253" s="1">
        <v>102.10219</v>
      </c>
      <c r="P253" s="1">
        <v>101.78122</v>
      </c>
      <c r="Q253" s="1">
        <v>106.7556</v>
      </c>
      <c r="R253" s="1">
        <v>101.69368</v>
      </c>
      <c r="S253" s="1">
        <v>108.4256</v>
      </c>
      <c r="T253" s="1">
        <v>102.26567</v>
      </c>
      <c r="U253" s="1">
        <v>102.40036</v>
      </c>
      <c r="V253" s="1">
        <v>103.92505</v>
      </c>
      <c r="W253" s="1">
        <v>98.927538</v>
      </c>
      <c r="X253" s="1">
        <v>91.634435</v>
      </c>
      <c r="Y253" s="4"/>
    </row>
    <row r="254" ht="14.25" customHeight="1">
      <c r="A254" s="1" t="s">
        <v>277</v>
      </c>
      <c r="B254" s="2">
        <v>44211.0</v>
      </c>
      <c r="C254" s="3">
        <v>262.518</v>
      </c>
      <c r="D254" s="1">
        <v>53.5371428571428</v>
      </c>
      <c r="E254" s="1">
        <v>4.352797</v>
      </c>
      <c r="F254" s="1">
        <v>4.9565187</v>
      </c>
      <c r="G254" s="1">
        <v>0.09</v>
      </c>
      <c r="H254" s="1">
        <v>6.1724369</v>
      </c>
      <c r="I254" s="1">
        <v>0.47380952</v>
      </c>
      <c r="J254" s="1">
        <v>1.2452381</v>
      </c>
      <c r="K254" s="1">
        <v>2.572381</v>
      </c>
      <c r="L254" s="1">
        <v>0.16714286</v>
      </c>
      <c r="M254" s="1">
        <v>23137.0</v>
      </c>
      <c r="N254" s="1">
        <v>103.2711238520665</v>
      </c>
      <c r="O254" s="1">
        <v>102.42514</v>
      </c>
      <c r="P254" s="1">
        <v>102.23211</v>
      </c>
      <c r="Q254" s="1">
        <v>107.1112</v>
      </c>
      <c r="R254" s="1">
        <v>101.77392</v>
      </c>
      <c r="S254" s="1">
        <v>109.12104</v>
      </c>
      <c r="T254" s="1">
        <v>102.27681</v>
      </c>
      <c r="U254" s="1">
        <v>100.03317</v>
      </c>
      <c r="V254" s="1">
        <v>104.17582</v>
      </c>
      <c r="W254" s="1">
        <v>99.003316</v>
      </c>
      <c r="X254" s="1">
        <v>93.731489</v>
      </c>
      <c r="Y254" s="4"/>
    </row>
    <row r="255" ht="14.25" customHeight="1">
      <c r="A255" s="1" t="s">
        <v>278</v>
      </c>
      <c r="B255" s="2">
        <v>44242.0</v>
      </c>
      <c r="C255" s="3">
        <v>263.583</v>
      </c>
      <c r="D255" s="1">
        <v>60.7985</v>
      </c>
      <c r="E255" s="1">
        <v>4.3573185</v>
      </c>
      <c r="F255" s="1">
        <v>4.9660834</v>
      </c>
      <c r="G255" s="1">
        <v>0.08</v>
      </c>
      <c r="H255" s="1">
        <v>-4.052941</v>
      </c>
      <c r="I255" s="1">
        <v>1.7845</v>
      </c>
      <c r="J255" s="1">
        <v>1.969</v>
      </c>
      <c r="K255" s="1">
        <v>2.462</v>
      </c>
      <c r="L255" s="1">
        <v>1.633</v>
      </c>
      <c r="M255" s="1">
        <v>23138.61</v>
      </c>
      <c r="N255" s="1">
        <v>104.8388827832648</v>
      </c>
      <c r="O255" s="1">
        <v>103.35199</v>
      </c>
      <c r="P255" s="1">
        <v>102.49198</v>
      </c>
      <c r="Q255" s="1">
        <v>107.11077</v>
      </c>
      <c r="R255" s="1">
        <v>101.98195</v>
      </c>
      <c r="S255" s="1">
        <v>110.87298</v>
      </c>
      <c r="T255" s="1">
        <v>102.29185</v>
      </c>
      <c r="U255" s="1">
        <v>104.03149</v>
      </c>
      <c r="V255" s="1">
        <v>104.94412</v>
      </c>
      <c r="W255" s="1">
        <v>99.128951</v>
      </c>
      <c r="X255" s="1">
        <v>95.179828</v>
      </c>
      <c r="Y255" s="4"/>
    </row>
    <row r="256" ht="14.25" customHeight="1">
      <c r="A256" s="1" t="s">
        <v>279</v>
      </c>
      <c r="B256" s="2">
        <v>44270.0</v>
      </c>
      <c r="C256" s="3">
        <v>264.91</v>
      </c>
      <c r="D256" s="1">
        <v>63.99</v>
      </c>
      <c r="E256" s="1">
        <v>4.3702793</v>
      </c>
      <c r="F256" s="1">
        <v>4.978102</v>
      </c>
      <c r="G256" s="1">
        <v>0.07</v>
      </c>
      <c r="H256" s="1">
        <v>25.293188</v>
      </c>
      <c r="I256" s="1">
        <v>0.76130435</v>
      </c>
      <c r="J256" s="1">
        <v>1.3256522</v>
      </c>
      <c r="K256" s="1">
        <v>1.9830435</v>
      </c>
      <c r="L256" s="1">
        <v>0.32695652</v>
      </c>
      <c r="M256" s="1">
        <v>23195.96</v>
      </c>
      <c r="N256" s="1">
        <v>104.558229094054</v>
      </c>
      <c r="O256" s="1">
        <v>102.96576</v>
      </c>
      <c r="P256" s="1">
        <v>102.29192</v>
      </c>
      <c r="Q256" s="1">
        <v>107.11806</v>
      </c>
      <c r="R256" s="1">
        <v>101.92994</v>
      </c>
      <c r="S256" s="1">
        <v>109.25645</v>
      </c>
      <c r="T256" s="1">
        <v>102.30791</v>
      </c>
      <c r="U256" s="1">
        <v>104.28044</v>
      </c>
      <c r="V256" s="1">
        <v>104.65489</v>
      </c>
      <c r="W256" s="1">
        <v>99.097726</v>
      </c>
      <c r="X256" s="1">
        <v>97.356686</v>
      </c>
      <c r="Y256" s="4"/>
    </row>
    <row r="257" ht="14.25" customHeight="1">
      <c r="A257" s="1" t="s">
        <v>280</v>
      </c>
      <c r="B257" s="2">
        <v>44301.0</v>
      </c>
      <c r="C257" s="3">
        <v>266.752</v>
      </c>
      <c r="D257" s="1">
        <v>63.4747727272727</v>
      </c>
      <c r="E257" s="1">
        <v>4.3682816</v>
      </c>
      <c r="F257" s="1">
        <v>4.9783078</v>
      </c>
      <c r="G257" s="1">
        <v>0.07</v>
      </c>
      <c r="H257" s="1">
        <v>45.210643</v>
      </c>
      <c r="I257" s="1">
        <v>0.89681818</v>
      </c>
      <c r="J257" s="1">
        <v>1.3031818</v>
      </c>
      <c r="K257" s="1">
        <v>1.9327273</v>
      </c>
      <c r="L257" s="1">
        <v>0.51545455</v>
      </c>
      <c r="M257" s="1">
        <v>23203.13</v>
      </c>
      <c r="N257" s="1">
        <v>104.5181832923109</v>
      </c>
      <c r="O257" s="1">
        <v>103.10569</v>
      </c>
      <c r="P257" s="1">
        <v>102.29437</v>
      </c>
      <c r="Q257" s="1">
        <v>107.14741</v>
      </c>
      <c r="R257" s="1">
        <v>102.0443</v>
      </c>
      <c r="S257" s="1">
        <v>109.11868</v>
      </c>
      <c r="T257" s="1">
        <v>102.31394</v>
      </c>
      <c r="U257" s="1">
        <v>103.83349</v>
      </c>
      <c r="V257" s="1">
        <v>104.72731</v>
      </c>
      <c r="W257" s="1">
        <v>98.988718</v>
      </c>
      <c r="X257" s="1">
        <v>98.205442</v>
      </c>
      <c r="Y257" s="4"/>
    </row>
    <row r="258" ht="14.25" customHeight="1">
      <c r="A258" s="1" t="s">
        <v>281</v>
      </c>
      <c r="B258" s="2">
        <v>44331.0</v>
      </c>
      <c r="C258" s="3">
        <v>268.452</v>
      </c>
      <c r="D258" s="1">
        <v>66.7680952380952</v>
      </c>
      <c r="E258" s="1">
        <v>4.3620637</v>
      </c>
      <c r="F258" s="1">
        <v>4.971573</v>
      </c>
      <c r="G258" s="1">
        <v>0.06</v>
      </c>
      <c r="H258" s="1">
        <v>62.776046</v>
      </c>
      <c r="I258" s="1">
        <v>1.47</v>
      </c>
      <c r="J258" s="1">
        <v>1.6257143</v>
      </c>
      <c r="K258" s="1">
        <v>1.9238095</v>
      </c>
      <c r="L258" s="1">
        <v>1.2466667</v>
      </c>
      <c r="M258" s="1">
        <v>23159.29</v>
      </c>
      <c r="N258" s="1">
        <v>104.683740094646</v>
      </c>
      <c r="O258" s="1">
        <v>103.20055</v>
      </c>
      <c r="P258" s="1">
        <v>102.28343</v>
      </c>
      <c r="Q258" s="1">
        <v>107.1788</v>
      </c>
      <c r="R258" s="1">
        <v>102.13879</v>
      </c>
      <c r="S258" s="1">
        <v>109.16244</v>
      </c>
      <c r="T258" s="1">
        <v>102.32264</v>
      </c>
      <c r="U258" s="1">
        <v>104.24613</v>
      </c>
      <c r="V258" s="1">
        <v>104.78732</v>
      </c>
      <c r="W258" s="1">
        <v>98.759658</v>
      </c>
      <c r="X258" s="1">
        <v>98.951017</v>
      </c>
      <c r="Y258" s="4"/>
    </row>
    <row r="259" ht="14.25" customHeight="1">
      <c r="A259" s="1" t="s">
        <v>282</v>
      </c>
      <c r="B259" s="2">
        <v>44362.0</v>
      </c>
      <c r="C259" s="3">
        <v>270.664</v>
      </c>
      <c r="D259" s="1">
        <v>72.4449999999999</v>
      </c>
      <c r="E259" s="1">
        <v>4.3668714</v>
      </c>
      <c r="F259" s="1">
        <v>4.9751313</v>
      </c>
      <c r="G259" s="1">
        <v>0.08</v>
      </c>
      <c r="H259" s="1">
        <v>61.036812</v>
      </c>
      <c r="I259" s="1">
        <v>1.5709091</v>
      </c>
      <c r="J259" s="1">
        <v>1.7754545</v>
      </c>
      <c r="K259" s="1">
        <v>1.945</v>
      </c>
      <c r="L259" s="1">
        <v>1.1677273</v>
      </c>
      <c r="M259" s="1">
        <v>23140.92</v>
      </c>
      <c r="N259" s="1">
        <v>104.8799174235833</v>
      </c>
      <c r="O259" s="1">
        <v>103.31438</v>
      </c>
      <c r="P259" s="1">
        <v>102.28015</v>
      </c>
      <c r="Q259" s="1">
        <v>107.2071</v>
      </c>
      <c r="R259" s="1">
        <v>102.24042</v>
      </c>
      <c r="S259" s="1">
        <v>109.01856</v>
      </c>
      <c r="T259" s="1">
        <v>102.33901</v>
      </c>
      <c r="U259" s="1">
        <v>104.90288</v>
      </c>
      <c r="V259" s="1">
        <v>104.84873</v>
      </c>
      <c r="W259" s="1">
        <v>98.676108</v>
      </c>
      <c r="X259" s="1">
        <v>100.00633</v>
      </c>
      <c r="Y259" s="4"/>
    </row>
    <row r="260" ht="14.25" customHeight="1">
      <c r="A260" s="1" t="s">
        <v>283</v>
      </c>
      <c r="B260" s="2">
        <v>44392.0</v>
      </c>
      <c r="C260" s="3">
        <v>271.994</v>
      </c>
      <c r="D260" s="1">
        <v>73.4975</v>
      </c>
      <c r="E260" s="1">
        <v>4.3778645</v>
      </c>
      <c r="F260" s="1">
        <v>4.9869198</v>
      </c>
      <c r="G260" s="1">
        <v>0.1</v>
      </c>
      <c r="H260" s="1">
        <v>69.128101</v>
      </c>
      <c r="I260" s="1">
        <v>1.425</v>
      </c>
      <c r="J260" s="1">
        <v>1.6540909</v>
      </c>
      <c r="K260" s="1">
        <v>1.8763636</v>
      </c>
      <c r="L260" s="1">
        <v>1.0118182</v>
      </c>
      <c r="M260" s="1">
        <v>23197.93</v>
      </c>
      <c r="N260" s="1">
        <v>105.5326900296277</v>
      </c>
      <c r="O260" s="1">
        <v>103.50499</v>
      </c>
      <c r="P260" s="1">
        <v>102.25039</v>
      </c>
      <c r="Q260" s="1">
        <v>107.23883</v>
      </c>
      <c r="R260" s="1">
        <v>102.3035</v>
      </c>
      <c r="S260" s="1">
        <v>109.74888</v>
      </c>
      <c r="T260" s="1">
        <v>102.36726</v>
      </c>
      <c r="U260" s="1">
        <v>105.82949</v>
      </c>
      <c r="V260" s="1">
        <v>104.84873</v>
      </c>
      <c r="W260" s="1">
        <v>98.57832</v>
      </c>
      <c r="X260" s="1">
        <v>102.37128</v>
      </c>
      <c r="Y260" s="4"/>
    </row>
    <row r="261" ht="14.25" customHeight="1">
      <c r="A261" s="1" t="s">
        <v>284</v>
      </c>
      <c r="B261" s="2">
        <v>44423.0</v>
      </c>
      <c r="C261" s="3">
        <v>272.789</v>
      </c>
      <c r="D261" s="1">
        <v>69.2302272727272</v>
      </c>
      <c r="E261" s="1">
        <v>4.3820312</v>
      </c>
      <c r="F261" s="1">
        <v>4.9927069</v>
      </c>
      <c r="G261" s="1">
        <v>0.09</v>
      </c>
      <c r="H261" s="1">
        <v>84.319725</v>
      </c>
      <c r="I261" s="1">
        <v>1.3059091</v>
      </c>
      <c r="J261" s="1">
        <v>1.6072727</v>
      </c>
      <c r="K261" s="1">
        <v>1.835</v>
      </c>
      <c r="L261" s="1">
        <v>0.83136364</v>
      </c>
      <c r="M261" s="1">
        <v>23159.54</v>
      </c>
      <c r="N261" s="1">
        <v>105.7943055682112</v>
      </c>
      <c r="O261" s="1">
        <v>103.72908</v>
      </c>
      <c r="P261" s="1">
        <v>102.2238</v>
      </c>
      <c r="Q261" s="1">
        <v>107.28162</v>
      </c>
      <c r="R261" s="1">
        <v>102.30095</v>
      </c>
      <c r="S261" s="1">
        <v>110.56299</v>
      </c>
      <c r="T261" s="1">
        <v>102.38794</v>
      </c>
      <c r="U261" s="1">
        <v>105.83224</v>
      </c>
      <c r="V261" s="1">
        <v>104.85187</v>
      </c>
      <c r="W261" s="1">
        <v>98.550619</v>
      </c>
      <c r="X261" s="1">
        <v>102.30842</v>
      </c>
      <c r="Y261" s="4"/>
    </row>
    <row r="262" ht="14.25" customHeight="1">
      <c r="A262" s="1" t="s">
        <v>285</v>
      </c>
      <c r="B262" s="2">
        <v>44454.0</v>
      </c>
      <c r="C262" s="3">
        <v>273.887</v>
      </c>
      <c r="D262" s="1">
        <v>73.1422727272727</v>
      </c>
      <c r="E262" s="1">
        <v>4.3834771</v>
      </c>
      <c r="F262" s="1">
        <v>4.9847566</v>
      </c>
      <c r="G262" s="1">
        <v>0.08</v>
      </c>
      <c r="H262" s="1">
        <v>98.270697</v>
      </c>
      <c r="I262" s="1">
        <v>1.1663636</v>
      </c>
      <c r="J262" s="1">
        <v>1.5704545</v>
      </c>
      <c r="K262" s="1">
        <v>1.7977273</v>
      </c>
      <c r="L262" s="1">
        <v>0.7</v>
      </c>
      <c r="M262" s="1">
        <v>23125.38</v>
      </c>
      <c r="N262" s="1">
        <v>105.1431416174388</v>
      </c>
      <c r="O262" s="1">
        <v>103.90148</v>
      </c>
      <c r="P262" s="1">
        <v>102.24732</v>
      </c>
      <c r="Q262" s="1">
        <v>104.17699</v>
      </c>
      <c r="R262" s="1">
        <v>102.39026</v>
      </c>
      <c r="S262" s="1">
        <v>110.38145</v>
      </c>
      <c r="T262" s="1">
        <v>102.41917</v>
      </c>
      <c r="U262" s="1">
        <v>103.7247</v>
      </c>
      <c r="V262" s="1">
        <v>104.8698</v>
      </c>
      <c r="W262" s="1">
        <v>98.561755</v>
      </c>
      <c r="X262" s="1">
        <v>102.14831</v>
      </c>
      <c r="Y262" s="4"/>
    </row>
    <row r="263" ht="14.25" customHeight="1">
      <c r="A263" s="1" t="s">
        <v>286</v>
      </c>
      <c r="B263" s="2">
        <v>44484.0</v>
      </c>
      <c r="C263" s="3">
        <v>276.434</v>
      </c>
      <c r="D263" s="1">
        <v>82.6147619047619</v>
      </c>
      <c r="E263" s="1">
        <v>4.3928404</v>
      </c>
      <c r="F263" s="1">
        <v>4.988889</v>
      </c>
      <c r="G263" s="1">
        <v>0.08</v>
      </c>
      <c r="H263" s="1">
        <v>109.22482</v>
      </c>
      <c r="I263" s="1">
        <v>1.1633333</v>
      </c>
      <c r="J263" s="1">
        <v>1.5661905</v>
      </c>
      <c r="K263" s="1">
        <v>1.8252381</v>
      </c>
      <c r="L263" s="1">
        <v>0.68047619</v>
      </c>
      <c r="M263" s="1">
        <v>23154.27</v>
      </c>
      <c r="N263" s="1">
        <v>104.9295958968138</v>
      </c>
      <c r="O263" s="1">
        <v>104.09962</v>
      </c>
      <c r="P263" s="1">
        <v>102.38392</v>
      </c>
      <c r="Q263" s="1">
        <v>104.43567</v>
      </c>
      <c r="R263" s="1">
        <v>102.45343</v>
      </c>
      <c r="S263" s="1">
        <v>108.97088</v>
      </c>
      <c r="T263" s="1">
        <v>102.44129</v>
      </c>
      <c r="U263" s="1">
        <v>103.45491</v>
      </c>
      <c r="V263" s="1">
        <v>104.99386</v>
      </c>
      <c r="W263" s="1">
        <v>98.598125</v>
      </c>
      <c r="X263" s="1">
        <v>104.70815</v>
      </c>
      <c r="Y263" s="4"/>
    </row>
    <row r="264" ht="14.25" customHeight="1">
      <c r="A264" s="1" t="s">
        <v>287</v>
      </c>
      <c r="B264" s="2">
        <v>44515.0</v>
      </c>
      <c r="C264" s="3">
        <v>278.799</v>
      </c>
      <c r="D264" s="1">
        <v>79.9929545454545</v>
      </c>
      <c r="E264" s="1">
        <v>4.4013697</v>
      </c>
      <c r="F264" s="1">
        <v>4.9933611</v>
      </c>
      <c r="G264" s="1">
        <v>0.08</v>
      </c>
      <c r="H264" s="1">
        <v>53.568791</v>
      </c>
      <c r="I264" s="1">
        <v>1.158636</v>
      </c>
      <c r="J264" s="1">
        <v>1.569545</v>
      </c>
      <c r="K264" s="1">
        <v>1.833636</v>
      </c>
      <c r="L264" s="1">
        <v>0.65</v>
      </c>
      <c r="M264" s="1">
        <v>23126.58</v>
      </c>
      <c r="N264" s="1">
        <v>105.2663149700467</v>
      </c>
      <c r="O264" s="1">
        <v>104.44034</v>
      </c>
      <c r="P264" s="1">
        <v>102.63967</v>
      </c>
      <c r="Q264" s="1">
        <v>103.47621</v>
      </c>
      <c r="R264" s="1">
        <v>102.65188</v>
      </c>
      <c r="S264" s="1">
        <v>108.78574</v>
      </c>
      <c r="T264" s="1">
        <v>102.48237</v>
      </c>
      <c r="U264" s="1">
        <v>103.93214</v>
      </c>
      <c r="V264" s="1">
        <v>105.25173</v>
      </c>
      <c r="W264" s="1">
        <v>98.68568</v>
      </c>
      <c r="X264" s="1">
        <v>107.96112</v>
      </c>
      <c r="Y264" s="4"/>
    </row>
    <row r="265" ht="14.25" customHeight="1">
      <c r="A265" s="1" t="s">
        <v>288</v>
      </c>
      <c r="B265" s="2">
        <v>44545.0</v>
      </c>
      <c r="C265" s="3">
        <v>280.808</v>
      </c>
      <c r="D265" s="1">
        <v>73.2402173913043</v>
      </c>
      <c r="E265" s="1">
        <v>4.4047669</v>
      </c>
      <c r="F265" s="1">
        <v>4.9929893</v>
      </c>
      <c r="G265" s="1">
        <v>0.08</v>
      </c>
      <c r="H265" s="1">
        <v>54.809088</v>
      </c>
      <c r="I265" s="1">
        <v>1.18</v>
      </c>
      <c r="J265" s="1">
        <v>1.61</v>
      </c>
      <c r="K265" s="1">
        <v>1.83</v>
      </c>
      <c r="L265" s="1">
        <v>0.68</v>
      </c>
      <c r="M265" s="1">
        <v>23178.78</v>
      </c>
      <c r="N265" s="1">
        <v>105.0751513420611</v>
      </c>
      <c r="O265" s="1">
        <v>104.65173</v>
      </c>
      <c r="P265" s="1">
        <v>102.86794</v>
      </c>
      <c r="Q265" s="1">
        <v>103.0321</v>
      </c>
      <c r="R265" s="1">
        <v>102.82916</v>
      </c>
      <c r="S265" s="1">
        <v>108.9734</v>
      </c>
      <c r="T265" s="1">
        <v>102.50604</v>
      </c>
      <c r="U265" s="1">
        <v>103.46819</v>
      </c>
      <c r="V265" s="1">
        <v>105.40034</v>
      </c>
      <c r="W265" s="1">
        <v>98.730483</v>
      </c>
      <c r="X265" s="1">
        <v>106.11746</v>
      </c>
      <c r="Y265" s="4"/>
    </row>
    <row r="266" ht="14.25" customHeight="1">
      <c r="A266" s="1" t="s">
        <v>289</v>
      </c>
      <c r="B266" s="2">
        <v>44576.0</v>
      </c>
      <c r="C266" s="3">
        <v>282.39</v>
      </c>
      <c r="D266" s="1">
        <v>84.4499999999999</v>
      </c>
      <c r="E266" s="1">
        <v>4.4078891</v>
      </c>
      <c r="F266" s="1">
        <v>4.9937883</v>
      </c>
      <c r="G266" s="1">
        <v>0.08</v>
      </c>
      <c r="H266" s="1">
        <v>6.856083</v>
      </c>
      <c r="I266" s="1">
        <v>2.32</v>
      </c>
      <c r="J266" s="1">
        <v>2.48</v>
      </c>
      <c r="K266" s="1">
        <v>2.56</v>
      </c>
      <c r="L266" s="1">
        <v>1.66</v>
      </c>
      <c r="M266" s="1">
        <v>23102.04</v>
      </c>
      <c r="N266" s="1">
        <v>105.276475332032</v>
      </c>
      <c r="O266" s="1">
        <v>105.24667</v>
      </c>
      <c r="P266" s="1">
        <v>103.13345</v>
      </c>
      <c r="Q266" s="1">
        <v>103.0595</v>
      </c>
      <c r="R266" s="1">
        <v>103.01158</v>
      </c>
      <c r="S266" s="1">
        <v>108.97198</v>
      </c>
      <c r="T266" s="1">
        <v>102.53382</v>
      </c>
      <c r="U266" s="1">
        <v>103.54331</v>
      </c>
      <c r="V266" s="1">
        <v>105.80634</v>
      </c>
      <c r="W266" s="1">
        <v>98.891611</v>
      </c>
      <c r="X266" s="1">
        <v>107.36583</v>
      </c>
      <c r="Y266" s="4"/>
    </row>
    <row r="267" ht="14.25" customHeight="1">
      <c r="A267" s="1" t="s">
        <v>290</v>
      </c>
      <c r="B267" s="2">
        <v>44607.0</v>
      </c>
      <c r="C267" s="3">
        <v>284.535</v>
      </c>
      <c r="D267" s="1">
        <v>92.9375</v>
      </c>
      <c r="E267" s="1">
        <v>4.4075098</v>
      </c>
      <c r="F267" s="1">
        <v>4.9900594</v>
      </c>
      <c r="G267" s="1">
        <v>0.08</v>
      </c>
      <c r="H267" s="1">
        <v>10.428036</v>
      </c>
      <c r="I267" s="1">
        <v>2.43</v>
      </c>
      <c r="J267" s="1">
        <v>2.4</v>
      </c>
      <c r="K267" s="1">
        <v>2.6</v>
      </c>
      <c r="L267" s="1">
        <v>2.2</v>
      </c>
      <c r="M267" s="1">
        <v>23115.0</v>
      </c>
      <c r="N267" s="1">
        <v>106.3317667207608</v>
      </c>
      <c r="O267" s="1">
        <v>105.6344</v>
      </c>
      <c r="P267" s="1">
        <v>103.20481</v>
      </c>
      <c r="Q267" s="1">
        <v>103.58067</v>
      </c>
      <c r="R267" s="1">
        <v>103.20669</v>
      </c>
      <c r="S267" s="1">
        <v>110.64753</v>
      </c>
      <c r="T267" s="1">
        <v>102.5613</v>
      </c>
      <c r="U267" s="1">
        <v>104.49228</v>
      </c>
      <c r="V267" s="1">
        <v>106.0351</v>
      </c>
      <c r="W267" s="1">
        <v>99.399914</v>
      </c>
      <c r="X267" s="1">
        <v>109.88989</v>
      </c>
      <c r="Y267" s="4"/>
    </row>
    <row r="268" ht="14.25" customHeight="1">
      <c r="A268" s="1" t="s">
        <v>291</v>
      </c>
      <c r="B268" s="2">
        <v>44635.0</v>
      </c>
      <c r="C268" s="3">
        <v>287.553</v>
      </c>
      <c r="D268" s="1">
        <v>110.419565217391</v>
      </c>
      <c r="E268" s="1">
        <v>4.4278699</v>
      </c>
      <c r="F268" s="1">
        <v>5.0095376</v>
      </c>
      <c r="G268" s="1">
        <v>0.2</v>
      </c>
      <c r="H268" s="1">
        <v>39.066406</v>
      </c>
      <c r="I268" s="1">
        <v>2.13</v>
      </c>
      <c r="J268" s="1">
        <v>2.43</v>
      </c>
      <c r="K268" s="1">
        <v>2.58</v>
      </c>
      <c r="L268" s="1">
        <v>2.28</v>
      </c>
      <c r="M268" s="1">
        <v>23152.89</v>
      </c>
      <c r="N268" s="1">
        <v>107.0778967278403</v>
      </c>
      <c r="O268" s="1">
        <v>105.69366</v>
      </c>
      <c r="P268" s="1">
        <v>103.32608</v>
      </c>
      <c r="Q268" s="1">
        <v>103.6797</v>
      </c>
      <c r="R268" s="1">
        <v>103.40051</v>
      </c>
      <c r="S268" s="1">
        <v>110.3541</v>
      </c>
      <c r="T268" s="1">
        <v>102.62673</v>
      </c>
      <c r="U268" s="1">
        <v>106.04838</v>
      </c>
      <c r="V268" s="1">
        <v>106.52095</v>
      </c>
      <c r="W268" s="1">
        <v>99.609449</v>
      </c>
      <c r="X268" s="1">
        <v>115.16801</v>
      </c>
      <c r="Y268" s="4"/>
    </row>
    <row r="269" ht="14.25" customHeight="1">
      <c r="A269" s="1" t="s">
        <v>292</v>
      </c>
      <c r="B269" s="2">
        <v>44666.0</v>
      </c>
      <c r="C269" s="3">
        <v>288.764</v>
      </c>
      <c r="D269" s="1">
        <v>104.070476190476</v>
      </c>
      <c r="E269" s="1">
        <v>4.4476376</v>
      </c>
      <c r="F269" s="1">
        <v>5.0292862</v>
      </c>
      <c r="G269" s="1">
        <v>0.33</v>
      </c>
      <c r="H269" s="1">
        <v>28.407869</v>
      </c>
      <c r="I269" s="1">
        <v>2.08</v>
      </c>
      <c r="J269" s="1">
        <v>2.35</v>
      </c>
      <c r="K269" s="1">
        <v>2.55</v>
      </c>
      <c r="L269" s="1">
        <v>2.07</v>
      </c>
      <c r="M269" s="1">
        <v>23112.92</v>
      </c>
      <c r="N269" s="1">
        <v>107.2753483694065</v>
      </c>
      <c r="O269" s="1">
        <v>105.92439</v>
      </c>
      <c r="P269" s="1">
        <v>103.45007</v>
      </c>
      <c r="Q269" s="1">
        <v>104.67336</v>
      </c>
      <c r="R269" s="1">
        <v>103.72653</v>
      </c>
      <c r="S269" s="1">
        <v>110.29947</v>
      </c>
      <c r="T269" s="1">
        <v>102.65762</v>
      </c>
      <c r="U269" s="1">
        <v>106.65975</v>
      </c>
      <c r="V269" s="1">
        <v>106.71194</v>
      </c>
      <c r="W269" s="1">
        <v>100.76203</v>
      </c>
      <c r="X269" s="1">
        <v>114.4929</v>
      </c>
      <c r="Y269" s="4"/>
    </row>
    <row r="270" ht="14.25" customHeight="1">
      <c r="A270" s="1" t="s">
        <v>293</v>
      </c>
      <c r="B270" s="2">
        <v>44696.0</v>
      </c>
      <c r="C270" s="3">
        <v>291.359</v>
      </c>
      <c r="D270" s="1">
        <v>110.913181818181</v>
      </c>
      <c r="E270" s="1">
        <v>4.4677581</v>
      </c>
      <c r="F270" s="1">
        <v>5.0474383</v>
      </c>
      <c r="G270" s="1">
        <v>0.77</v>
      </c>
      <c r="H270" s="1">
        <v>55.848469</v>
      </c>
      <c r="I270" s="1">
        <v>2.11</v>
      </c>
      <c r="J270" s="1">
        <v>2.38</v>
      </c>
      <c r="K270" s="1">
        <v>2.58</v>
      </c>
      <c r="L270" s="1">
        <v>1.62</v>
      </c>
      <c r="M270" s="1">
        <v>23129.44</v>
      </c>
      <c r="N270" s="1">
        <v>107.6807419108944</v>
      </c>
      <c r="O270" s="1">
        <v>106.27108</v>
      </c>
      <c r="P270" s="1">
        <v>103.63618</v>
      </c>
      <c r="Q270" s="1">
        <v>104.85005</v>
      </c>
      <c r="R270" s="1">
        <v>103.95379</v>
      </c>
      <c r="S270" s="1">
        <v>110.60169</v>
      </c>
      <c r="T270" s="1">
        <v>102.68524</v>
      </c>
      <c r="U270" s="1">
        <v>106.52045</v>
      </c>
      <c r="V270" s="1">
        <v>106.90989</v>
      </c>
      <c r="W270" s="1">
        <v>101.50384</v>
      </c>
      <c r="X270" s="1">
        <v>117.17581</v>
      </c>
      <c r="Y270" s="4"/>
    </row>
    <row r="271" ht="14.25" customHeight="1">
      <c r="A271" s="1" t="s">
        <v>294</v>
      </c>
      <c r="B271" s="2">
        <v>44727.0</v>
      </c>
      <c r="C271" s="3">
        <v>294.996</v>
      </c>
      <c r="D271" s="1">
        <v>116.184318181818</v>
      </c>
      <c r="E271" s="1">
        <v>4.4779964</v>
      </c>
      <c r="F271" s="1">
        <v>5.0566646</v>
      </c>
      <c r="G271" s="1">
        <v>1.21</v>
      </c>
      <c r="H271" s="1">
        <v>33.976877</v>
      </c>
      <c r="I271" s="1">
        <v>2.15</v>
      </c>
      <c r="J271" s="1">
        <v>2.48</v>
      </c>
      <c r="K271" s="1">
        <v>2.71</v>
      </c>
      <c r="L271" s="1">
        <v>0.5</v>
      </c>
      <c r="M271" s="1">
        <v>23082.23</v>
      </c>
      <c r="N271" s="1">
        <v>108.4187857159517</v>
      </c>
      <c r="O271" s="1">
        <v>106.63888</v>
      </c>
      <c r="P271" s="1">
        <v>103.80738</v>
      </c>
      <c r="Q271" s="1">
        <v>104.91873</v>
      </c>
      <c r="R271" s="1">
        <v>104.27376</v>
      </c>
      <c r="S271" s="1">
        <v>111.49148</v>
      </c>
      <c r="T271" s="1">
        <v>102.72118</v>
      </c>
      <c r="U271" s="1">
        <v>106.50565</v>
      </c>
      <c r="V271" s="1">
        <v>107.16958</v>
      </c>
      <c r="W271" s="1">
        <v>102.03521</v>
      </c>
      <c r="X271" s="1">
        <v>121.41781</v>
      </c>
      <c r="Y271" s="4"/>
    </row>
    <row r="272" ht="14.25" customHeight="1">
      <c r="A272" s="1" t="s">
        <v>295</v>
      </c>
      <c r="B272" s="2">
        <v>44757.0</v>
      </c>
      <c r="C272" s="3">
        <v>294.977</v>
      </c>
      <c r="D272" s="1">
        <v>103.585476190476</v>
      </c>
      <c r="E272" s="1">
        <v>4.4968052</v>
      </c>
      <c r="F272" s="1">
        <v>5.0728389</v>
      </c>
      <c r="G272" s="1">
        <v>1.68</v>
      </c>
      <c r="H272" s="1">
        <v>20.180557</v>
      </c>
      <c r="I272" s="1">
        <v>2.22</v>
      </c>
      <c r="J272" s="1">
        <v>2.6</v>
      </c>
      <c r="K272" s="1">
        <v>2.82</v>
      </c>
      <c r="L272" s="1">
        <v>0.9</v>
      </c>
      <c r="M272" s="1">
        <v>23187.0</v>
      </c>
      <c r="N272" s="1">
        <v>108.8473651758869</v>
      </c>
      <c r="O272" s="1">
        <v>107.05574</v>
      </c>
      <c r="P272" s="1">
        <v>104.13625</v>
      </c>
      <c r="Q272" s="1">
        <v>105.12699</v>
      </c>
      <c r="R272" s="1">
        <v>104.60431</v>
      </c>
      <c r="S272" s="1">
        <v>113.02427</v>
      </c>
      <c r="T272" s="1">
        <v>102.77408</v>
      </c>
      <c r="U272" s="1">
        <v>107.02902</v>
      </c>
      <c r="V272" s="1">
        <v>107.62816</v>
      </c>
      <c r="W272" s="1">
        <v>102.83752</v>
      </c>
      <c r="X272" s="1">
        <v>117.95631</v>
      </c>
      <c r="Y272" s="4"/>
    </row>
    <row r="273" ht="14.25" customHeight="1">
      <c r="A273" s="1" t="s">
        <v>296</v>
      </c>
      <c r="B273" s="2">
        <v>44788.0</v>
      </c>
      <c r="C273" s="3">
        <v>295.209</v>
      </c>
      <c r="D273" s="1">
        <v>95.6678260869565</v>
      </c>
      <c r="E273" s="1">
        <v>4.4965524</v>
      </c>
      <c r="F273" s="1">
        <v>5.071051</v>
      </c>
      <c r="G273" s="1">
        <v>2.33</v>
      </c>
      <c r="H273" s="1">
        <v>-18.481003</v>
      </c>
      <c r="I273" s="1">
        <v>4.38</v>
      </c>
      <c r="J273" s="1">
        <v>4.47</v>
      </c>
      <c r="K273" s="1">
        <v>4.63</v>
      </c>
      <c r="L273" s="1">
        <v>4.22</v>
      </c>
      <c r="M273" s="1">
        <v>23190.41</v>
      </c>
      <c r="N273" s="1">
        <v>108.8528075441457</v>
      </c>
      <c r="O273" s="1">
        <v>107.3404</v>
      </c>
      <c r="P273" s="1">
        <v>104.32057</v>
      </c>
      <c r="Q273" s="1">
        <v>106.667</v>
      </c>
      <c r="R273" s="1">
        <v>104.8267</v>
      </c>
      <c r="S273" s="1">
        <v>114.21136</v>
      </c>
      <c r="T273" s="1">
        <v>102.86452</v>
      </c>
      <c r="U273" s="1">
        <v>107.31072</v>
      </c>
      <c r="V273" s="1">
        <v>107.84847</v>
      </c>
      <c r="W273" s="1">
        <v>103.2827</v>
      </c>
      <c r="X273" s="1">
        <v>111.45833</v>
      </c>
      <c r="Y273" s="4"/>
    </row>
    <row r="274" ht="14.25" customHeight="1">
      <c r="A274" s="1" t="s">
        <v>297</v>
      </c>
      <c r="B274" s="2">
        <v>44819.0</v>
      </c>
      <c r="C274" s="3">
        <v>296.341</v>
      </c>
      <c r="D274" s="1">
        <v>87.5040909090909</v>
      </c>
      <c r="E274" s="1">
        <v>4.524873</v>
      </c>
      <c r="F274" s="1">
        <v>5.097922</v>
      </c>
      <c r="G274" s="1">
        <v>2.56</v>
      </c>
      <c r="H274" s="1">
        <v>-13.552796</v>
      </c>
      <c r="I274" s="1">
        <v>5.38</v>
      </c>
      <c r="J274" s="1">
        <v>5.37</v>
      </c>
      <c r="K274" s="1">
        <v>5.39</v>
      </c>
      <c r="L274" s="1">
        <v>5.17</v>
      </c>
      <c r="M274" s="1">
        <v>23295.0</v>
      </c>
      <c r="N274" s="1">
        <v>109.2861505709789</v>
      </c>
      <c r="O274" s="1">
        <v>107.48005</v>
      </c>
      <c r="P274" s="1">
        <v>104.48946</v>
      </c>
      <c r="Q274" s="1">
        <v>112.89251</v>
      </c>
      <c r="R274" s="1">
        <v>104.99495</v>
      </c>
      <c r="S274" s="1">
        <v>114.41135</v>
      </c>
      <c r="T274" s="1">
        <v>102.90021</v>
      </c>
      <c r="U274" s="1">
        <v>108.31987</v>
      </c>
      <c r="V274" s="1">
        <v>108.00248</v>
      </c>
      <c r="W274" s="1">
        <v>103.31658</v>
      </c>
      <c r="X274" s="1">
        <v>108.97159</v>
      </c>
      <c r="Y274" s="4"/>
    </row>
    <row r="275" ht="14.25" customHeight="1">
      <c r="A275" s="1" t="s">
        <v>298</v>
      </c>
      <c r="B275" s="2">
        <v>44849.0</v>
      </c>
      <c r="C275" s="3">
        <v>297.863</v>
      </c>
      <c r="D275" s="1">
        <v>90.502619047619</v>
      </c>
      <c r="E275" s="1">
        <v>4.5305344</v>
      </c>
      <c r="F275" s="1">
        <v>5.1000318</v>
      </c>
      <c r="G275" s="1">
        <v>3.08</v>
      </c>
      <c r="H275" s="1">
        <v>6.0022377</v>
      </c>
      <c r="I275" s="1">
        <v>8.07</v>
      </c>
      <c r="J275" s="1">
        <v>7.8</v>
      </c>
      <c r="K275" s="1">
        <v>7.79</v>
      </c>
      <c r="L275" s="1">
        <v>8.35</v>
      </c>
      <c r="M275" s="1">
        <v>23564.38</v>
      </c>
      <c r="N275" s="1">
        <v>109.444834061608</v>
      </c>
      <c r="O275" s="1">
        <v>107.85064</v>
      </c>
      <c r="P275" s="1">
        <v>104.70325</v>
      </c>
      <c r="Q275" s="1">
        <v>115.54594</v>
      </c>
      <c r="R275" s="1">
        <v>105.11716</v>
      </c>
      <c r="S275" s="1">
        <v>114.56019</v>
      </c>
      <c r="T275" s="1">
        <v>102.96556</v>
      </c>
      <c r="U275" s="1">
        <v>109.06641</v>
      </c>
      <c r="V275" s="1">
        <v>108.25574</v>
      </c>
      <c r="W275" s="1">
        <v>103.37815</v>
      </c>
      <c r="X275" s="1">
        <v>106.6032</v>
      </c>
      <c r="Y275" s="4"/>
    </row>
    <row r="276" ht="14.25" customHeight="1">
      <c r="A276" s="1" t="s">
        <v>299</v>
      </c>
      <c r="B276" s="2">
        <v>44880.0</v>
      </c>
      <c r="C276" s="3">
        <v>298.648</v>
      </c>
      <c r="D276" s="1">
        <v>87.5074999999999</v>
      </c>
      <c r="E276" s="1">
        <v>4.4993424</v>
      </c>
      <c r="F276" s="1">
        <v>5.0690525</v>
      </c>
      <c r="G276" s="1">
        <v>3.78</v>
      </c>
      <c r="H276" s="1">
        <v>-27.431779</v>
      </c>
      <c r="I276" s="1">
        <v>7.84</v>
      </c>
      <c r="J276" s="1">
        <v>8.16</v>
      </c>
      <c r="K276" s="1">
        <v>8.24</v>
      </c>
      <c r="L276" s="1">
        <v>6.31</v>
      </c>
      <c r="M276" s="1">
        <v>23679.35</v>
      </c>
      <c r="N276" s="1">
        <v>109.8686044590946</v>
      </c>
      <c r="O276" s="1">
        <v>108.13429</v>
      </c>
      <c r="P276" s="1">
        <v>104.93611</v>
      </c>
      <c r="Q276" s="1">
        <v>114.82088</v>
      </c>
      <c r="R276" s="1">
        <v>105.33286</v>
      </c>
      <c r="S276" s="1">
        <v>114.48057</v>
      </c>
      <c r="T276" s="1">
        <v>103.02991</v>
      </c>
      <c r="U276" s="1">
        <v>110.12577</v>
      </c>
      <c r="V276" s="1">
        <v>108.48849</v>
      </c>
      <c r="W276" s="1">
        <v>103.60031</v>
      </c>
      <c r="X276" s="1">
        <v>108.97789</v>
      </c>
      <c r="Y276" s="4"/>
    </row>
    <row r="277" ht="14.25" customHeight="1">
      <c r="A277" s="1" t="s">
        <v>300</v>
      </c>
      <c r="B277" s="2">
        <v>44910.0</v>
      </c>
      <c r="C277" s="3">
        <v>298.812</v>
      </c>
      <c r="D277" s="1">
        <v>79.0425</v>
      </c>
      <c r="E277" s="1">
        <v>4.4680924</v>
      </c>
      <c r="F277" s="1">
        <v>5.0376211</v>
      </c>
      <c r="G277" s="1">
        <v>4.1</v>
      </c>
      <c r="H277" s="1">
        <v>-16.194631</v>
      </c>
      <c r="I277" s="1">
        <v>7.78</v>
      </c>
      <c r="J277" s="1">
        <v>8.3</v>
      </c>
      <c r="K277" s="1">
        <v>8.48</v>
      </c>
      <c r="L277" s="1">
        <v>5.32</v>
      </c>
      <c r="M277" s="1">
        <v>23643.89</v>
      </c>
      <c r="N277" s="1">
        <v>109.8548708835372</v>
      </c>
      <c r="O277" s="1">
        <v>108.61548</v>
      </c>
      <c r="P277" s="1">
        <v>105.36477</v>
      </c>
      <c r="Q277" s="1">
        <v>115.19118</v>
      </c>
      <c r="R277" s="1">
        <v>105.56828</v>
      </c>
      <c r="S277" s="1">
        <v>114.65207</v>
      </c>
      <c r="T277" s="1">
        <v>103.11141</v>
      </c>
      <c r="U277" s="1">
        <v>110.85601</v>
      </c>
      <c r="V277" s="1">
        <v>108.73932</v>
      </c>
      <c r="W277" s="1">
        <v>103.69044</v>
      </c>
      <c r="X277" s="1">
        <v>105.94994</v>
      </c>
      <c r="Y277" s="4"/>
    </row>
    <row r="278" ht="14.25" customHeight="1">
      <c r="A278" s="1" t="s">
        <v>301</v>
      </c>
      <c r="B278" s="2">
        <v>44941.0</v>
      </c>
      <c r="C278" s="1">
        <v>300.356</v>
      </c>
      <c r="D278" s="1">
        <v>81.1665909090909</v>
      </c>
      <c r="H278" s="1">
        <v>-62.755338</v>
      </c>
      <c r="M278" s="1">
        <v>23604.78</v>
      </c>
      <c r="N278" s="4"/>
      <c r="Y278" s="1">
        <v>110.421</v>
      </c>
    </row>
    <row r="279" ht="14.25" customHeight="1">
      <c r="A279" s="1" t="s">
        <v>302</v>
      </c>
      <c r="B279" s="2">
        <v>44972.0</v>
      </c>
      <c r="C279" s="1">
        <v>301.509</v>
      </c>
      <c r="D279" s="1">
        <v>80.33</v>
      </c>
      <c r="H279" s="1">
        <v>-95.28628</v>
      </c>
      <c r="M279" s="1">
        <v>23629.75</v>
      </c>
      <c r="N279" s="4"/>
      <c r="Y279" s="1">
        <v>110.9166</v>
      </c>
    </row>
    <row r="280" ht="14.25" customHeight="1">
      <c r="A280" s="1" t="s">
        <v>303</v>
      </c>
      <c r="B280" s="2">
        <v>45000.0</v>
      </c>
      <c r="C280" s="1">
        <v>301.744</v>
      </c>
      <c r="D280" s="1">
        <v>76.3023913043477</v>
      </c>
      <c r="H280" s="1">
        <v>-18.983969</v>
      </c>
      <c r="M280" s="1">
        <v>23621.81</v>
      </c>
      <c r="N280" s="4"/>
      <c r="Y280" s="1">
        <v>110.6661</v>
      </c>
    </row>
    <row r="281" ht="14.25" customHeight="1">
      <c r="A281" s="1" t="s">
        <v>304</v>
      </c>
      <c r="B281" s="2">
        <v>45031.0</v>
      </c>
      <c r="C281" s="1">
        <v>303.032</v>
      </c>
      <c r="D281" s="1">
        <v>81.33125</v>
      </c>
      <c r="H281" s="1">
        <v>-14.398458</v>
      </c>
      <c r="M281" s="1">
        <v>23615.46</v>
      </c>
      <c r="N281" s="4"/>
      <c r="Y281" s="1">
        <v>110.287</v>
      </c>
    </row>
    <row r="282" ht="14.25" customHeight="1">
      <c r="A282" s="1" t="s">
        <v>305</v>
      </c>
      <c r="B282" s="2">
        <v>45061.0</v>
      </c>
      <c r="C282" s="1">
        <v>303.365</v>
      </c>
      <c r="D282" s="1">
        <v>73.7104347826087</v>
      </c>
      <c r="H282" s="1">
        <v>-18.762679</v>
      </c>
      <c r="M282" s="1">
        <v>23664.5</v>
      </c>
      <c r="N282" s="4"/>
      <c r="Y282" s="1">
        <v>110.2953</v>
      </c>
    </row>
    <row r="283" ht="14.25" customHeight="1">
      <c r="A283" s="1" t="s">
        <v>306</v>
      </c>
      <c r="B283" s="2">
        <v>45092.0</v>
      </c>
      <c r="C283" s="1">
        <v>304.003</v>
      </c>
      <c r="D283" s="1">
        <v>72.6409090909091</v>
      </c>
      <c r="H283" s="1">
        <v>-45.709031</v>
      </c>
      <c r="M283" s="1">
        <v>23763.15</v>
      </c>
      <c r="N283" s="4"/>
      <c r="Y283" s="1">
        <v>110.5902</v>
      </c>
    </row>
    <row r="284" ht="14.25" customHeight="1">
      <c r="A284" s="1" t="s">
        <v>307</v>
      </c>
      <c r="B284" s="2">
        <v>45122.0</v>
      </c>
      <c r="C284" s="1">
        <v>304.628</v>
      </c>
      <c r="D284" s="1">
        <v>77.9378571428571</v>
      </c>
      <c r="H284" s="1">
        <v>-49.70724</v>
      </c>
      <c r="M284" s="1">
        <v>23763.15</v>
      </c>
      <c r="N284" s="4"/>
      <c r="Y284" s="1">
        <v>111.0932</v>
      </c>
    </row>
    <row r="285" ht="14.25" customHeight="1">
      <c r="A285" s="1" t="s">
        <v>308</v>
      </c>
      <c r="B285" s="2">
        <v>45153.0</v>
      </c>
      <c r="C285" s="1">
        <v>306.187</v>
      </c>
      <c r="D285" s="1">
        <v>83.2704347826087</v>
      </c>
      <c r="H285" s="1">
        <v>-39.997367</v>
      </c>
      <c r="M285" s="1">
        <v>23882.15</v>
      </c>
      <c r="N285" s="4"/>
      <c r="Y285" s="1">
        <v>112.072</v>
      </c>
    </row>
    <row r="286" ht="14.25" customHeight="1">
      <c r="A286" s="1" t="s">
        <v>309</v>
      </c>
      <c r="B286" s="2">
        <v>45184.0</v>
      </c>
      <c r="C286" s="1">
        <v>307.288</v>
      </c>
      <c r="D286" s="1">
        <v>90.9571428571428</v>
      </c>
      <c r="H286" s="1">
        <v>-21.020314</v>
      </c>
      <c r="M286" s="1">
        <v>24037.52</v>
      </c>
      <c r="N286" s="4"/>
      <c r="Y286" s="1">
        <v>113.2823</v>
      </c>
    </row>
    <row r="287" ht="14.25" customHeight="1">
      <c r="A287" s="1" t="s">
        <v>310</v>
      </c>
      <c r="B287" s="2">
        <v>45214.0</v>
      </c>
      <c r="C287" s="1">
        <v>307.531</v>
      </c>
      <c r="D287" s="1">
        <v>87.2084090909091</v>
      </c>
      <c r="H287" s="1">
        <v>8.4077192</v>
      </c>
      <c r="M287" s="1">
        <v>24079.06</v>
      </c>
      <c r="N287" s="4"/>
      <c r="Y287" s="1">
        <v>113.3754</v>
      </c>
    </row>
    <row r="288" ht="14.25" customHeight="1">
      <c r="A288" s="1" t="s">
        <v>311</v>
      </c>
      <c r="B288" s="2">
        <v>45245.0</v>
      </c>
      <c r="C288" s="1">
        <v>308.024</v>
      </c>
      <c r="D288" s="1">
        <v>79.880909090909</v>
      </c>
      <c r="H288" s="1">
        <v>6.4131477</v>
      </c>
      <c r="M288" s="1">
        <v>23869.96</v>
      </c>
      <c r="N288" s="4"/>
      <c r="Y288" s="1">
        <v>113.6572</v>
      </c>
    </row>
    <row r="289" ht="14.25" customHeight="1">
      <c r="A289" s="1" t="s">
        <v>312</v>
      </c>
      <c r="B289" s="2">
        <v>45275.0</v>
      </c>
      <c r="C289" s="1">
        <v>308.742</v>
      </c>
      <c r="D289" s="1">
        <v>74.7802380952381</v>
      </c>
      <c r="H289" s="1">
        <v>38.997947</v>
      </c>
      <c r="M289" s="1">
        <v>23916.54</v>
      </c>
      <c r="N289" s="4"/>
      <c r="Y289" s="1">
        <v>113.7888</v>
      </c>
    </row>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75"/>
    <col customWidth="1" min="2" max="2" width="61.25"/>
    <col customWidth="1" min="3" max="3" width="49.75"/>
    <col customWidth="1" min="4" max="4" width="8.63"/>
    <col customWidth="1" min="5" max="5" width="18.13"/>
    <col customWidth="1" min="6" max="26" width="8.63"/>
  </cols>
  <sheetData>
    <row r="1" ht="14.25" customHeight="1">
      <c r="A1" s="1" t="s">
        <v>313</v>
      </c>
      <c r="B1" s="1" t="s">
        <v>314</v>
      </c>
      <c r="C1" s="1" t="s">
        <v>315</v>
      </c>
    </row>
    <row r="2" ht="14.25" customHeight="1">
      <c r="A2" s="1" t="s">
        <v>0</v>
      </c>
      <c r="B2" s="1" t="s">
        <v>316</v>
      </c>
    </row>
    <row r="3" ht="14.25" customHeight="1">
      <c r="A3" s="1" t="s">
        <v>1</v>
      </c>
      <c r="B3" s="1" t="s">
        <v>317</v>
      </c>
      <c r="C3" s="1" t="s">
        <v>318</v>
      </c>
    </row>
    <row r="4" ht="14.25" customHeight="1">
      <c r="A4" s="1" t="s">
        <v>2</v>
      </c>
      <c r="B4" s="1" t="s">
        <v>319</v>
      </c>
    </row>
    <row r="5" ht="14.25" customHeight="1">
      <c r="A5" s="1" t="s">
        <v>3</v>
      </c>
      <c r="B5" s="1" t="s">
        <v>320</v>
      </c>
    </row>
    <row r="6" ht="14.25" customHeight="1">
      <c r="A6" s="1" t="s">
        <v>4</v>
      </c>
      <c r="B6" s="1" t="s">
        <v>321</v>
      </c>
      <c r="C6" s="1" t="s">
        <v>322</v>
      </c>
    </row>
    <row r="7" ht="14.25" customHeight="1">
      <c r="A7" s="1" t="s">
        <v>5</v>
      </c>
      <c r="B7" s="1" t="s">
        <v>323</v>
      </c>
      <c r="C7" s="1" t="s">
        <v>324</v>
      </c>
    </row>
    <row r="8" ht="14.25" customHeight="1">
      <c r="A8" s="1" t="s">
        <v>6</v>
      </c>
      <c r="B8" s="1" t="s">
        <v>325</v>
      </c>
    </row>
    <row r="9" ht="14.25" customHeight="1">
      <c r="A9" s="1" t="s">
        <v>7</v>
      </c>
      <c r="B9" s="1" t="s">
        <v>326</v>
      </c>
    </row>
    <row r="10" ht="14.25" customHeight="1">
      <c r="A10" s="1" t="s">
        <v>8</v>
      </c>
      <c r="B10" s="1" t="s">
        <v>327</v>
      </c>
    </row>
    <row r="11" ht="14.25" customHeight="1">
      <c r="A11" s="1" t="s">
        <v>9</v>
      </c>
      <c r="B11" s="1" t="s">
        <v>328</v>
      </c>
    </row>
    <row r="12" ht="14.25" customHeight="1">
      <c r="A12" s="1" t="s">
        <v>10</v>
      </c>
      <c r="B12" s="1" t="s">
        <v>329</v>
      </c>
    </row>
    <row r="13" ht="14.25" customHeight="1">
      <c r="A13" s="1" t="s">
        <v>11</v>
      </c>
      <c r="B13" s="1" t="s">
        <v>330</v>
      </c>
    </row>
    <row r="14" ht="14.25" customHeight="1">
      <c r="A14" s="1" t="s">
        <v>12</v>
      </c>
      <c r="B14" s="1" t="s">
        <v>331</v>
      </c>
    </row>
    <row r="15" ht="14.25" customHeight="1">
      <c r="A15" s="1" t="s">
        <v>13</v>
      </c>
      <c r="B15" s="1" t="s">
        <v>332</v>
      </c>
    </row>
    <row r="16" ht="14.25" customHeight="1">
      <c r="A16" s="1" t="s">
        <v>14</v>
      </c>
      <c r="B16" s="1" t="s">
        <v>333</v>
      </c>
    </row>
    <row r="17" ht="14.25" customHeight="1">
      <c r="A17" s="1" t="s">
        <v>15</v>
      </c>
      <c r="B17" s="1" t="s">
        <v>334</v>
      </c>
    </row>
    <row r="18" ht="14.25" customHeight="1">
      <c r="A18" s="1" t="s">
        <v>16</v>
      </c>
      <c r="B18" s="1" t="s">
        <v>335</v>
      </c>
    </row>
    <row r="19" ht="14.25" customHeight="1">
      <c r="A19" s="1" t="s">
        <v>17</v>
      </c>
      <c r="B19" s="1" t="s">
        <v>336</v>
      </c>
    </row>
    <row r="20" ht="14.25" customHeight="1">
      <c r="A20" s="1" t="s">
        <v>18</v>
      </c>
      <c r="B20" s="1" t="s">
        <v>337</v>
      </c>
    </row>
    <row r="21" ht="14.25" customHeight="1">
      <c r="A21" s="1" t="s">
        <v>19</v>
      </c>
      <c r="B21" s="1" t="s">
        <v>338</v>
      </c>
    </row>
    <row r="22" ht="14.25" customHeight="1">
      <c r="A22" s="1" t="s">
        <v>20</v>
      </c>
      <c r="B22" s="1" t="s">
        <v>339</v>
      </c>
    </row>
    <row r="23" ht="14.25" customHeight="1">
      <c r="A23" s="1" t="s">
        <v>21</v>
      </c>
      <c r="B23" s="1" t="s">
        <v>340</v>
      </c>
    </row>
    <row r="24" ht="14.25" customHeight="1">
      <c r="A24" s="1" t="s">
        <v>22</v>
      </c>
      <c r="B24" s="1" t="s">
        <v>341</v>
      </c>
    </row>
    <row r="25" ht="14.25" customHeight="1">
      <c r="A25" s="1" t="s">
        <v>23</v>
      </c>
      <c r="B25" s="1" t="s">
        <v>342</v>
      </c>
    </row>
    <row r="26" ht="14.25" customHeight="1">
      <c r="A26" s="1" t="s">
        <v>24</v>
      </c>
      <c r="B26" s="1" t="s">
        <v>343</v>
      </c>
    </row>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5" width="8.63"/>
    <col customWidth="1" min="16" max="16" width="11.13"/>
    <col customWidth="1" min="17" max="17" width="9.0"/>
    <col customWidth="1" min="18" max="26" width="8.63"/>
  </cols>
  <sheetData>
    <row r="1" ht="14.25" customHeight="1">
      <c r="A1" s="5" t="s">
        <v>344</v>
      </c>
      <c r="B1" s="6"/>
      <c r="C1" s="6"/>
      <c r="D1" s="6"/>
      <c r="E1" s="6"/>
      <c r="F1" s="6"/>
      <c r="G1" s="6"/>
      <c r="H1" s="6"/>
      <c r="I1" s="6"/>
      <c r="J1" s="6"/>
      <c r="K1" s="6"/>
      <c r="L1" s="6"/>
      <c r="M1" s="6"/>
      <c r="N1" s="6"/>
      <c r="O1" s="6"/>
      <c r="P1" s="6"/>
      <c r="Q1" s="7"/>
      <c r="R1" s="6"/>
      <c r="S1" s="6"/>
      <c r="T1" s="6"/>
      <c r="U1" s="6"/>
      <c r="V1" s="6"/>
      <c r="W1" s="6"/>
      <c r="X1" s="6"/>
      <c r="Y1" s="6"/>
      <c r="Z1" s="6"/>
    </row>
    <row r="2" ht="14.25" customHeight="1">
      <c r="A2" s="8" t="s">
        <v>345</v>
      </c>
      <c r="Q2" s="9"/>
    </row>
    <row r="3" ht="14.25" customHeight="1">
      <c r="A3" s="1" t="s">
        <v>346</v>
      </c>
      <c r="Q3" s="9"/>
    </row>
    <row r="4" ht="14.25" customHeight="1">
      <c r="A4" s="1" t="s">
        <v>347</v>
      </c>
      <c r="Q4" s="9"/>
    </row>
    <row r="5" ht="14.25" customHeight="1">
      <c r="A5" s="1" t="s">
        <v>348</v>
      </c>
      <c r="Q5" s="9"/>
    </row>
    <row r="6" ht="14.25" customHeight="1">
      <c r="A6" s="1" t="s">
        <v>349</v>
      </c>
      <c r="Q6" s="9"/>
    </row>
    <row r="7" ht="14.25" customHeight="1">
      <c r="A7" s="1" t="s">
        <v>350</v>
      </c>
      <c r="Q7" s="9"/>
    </row>
    <row r="8" ht="14.25" customHeight="1">
      <c r="Q8" s="9"/>
    </row>
    <row r="9" ht="14.25" customHeight="1">
      <c r="A9" s="10" t="s">
        <v>351</v>
      </c>
      <c r="Q9" s="9"/>
    </row>
    <row r="10" ht="14.25" customHeight="1">
      <c r="A10" s="11" t="s">
        <v>352</v>
      </c>
      <c r="Q10" s="9"/>
    </row>
    <row r="11" ht="14.25" customHeight="1">
      <c r="A11" s="11" t="s">
        <v>353</v>
      </c>
      <c r="Q11" s="9"/>
    </row>
    <row r="12" ht="14.25" customHeight="1">
      <c r="A12" s="11" t="s">
        <v>354</v>
      </c>
      <c r="Q12" s="9"/>
    </row>
    <row r="13" ht="14.25" customHeight="1">
      <c r="A13" s="8" t="s">
        <v>355</v>
      </c>
      <c r="Q13" s="9"/>
    </row>
    <row r="14" ht="14.25" customHeight="1">
      <c r="A14" s="4" t="s">
        <v>356</v>
      </c>
      <c r="I14" s="1" t="s">
        <v>357</v>
      </c>
      <c r="Q14" s="9"/>
    </row>
    <row r="15" ht="14.25" customHeight="1">
      <c r="A15" s="12" t="s">
        <v>358</v>
      </c>
      <c r="Q15" s="9"/>
    </row>
    <row r="16" ht="14.25" customHeight="1">
      <c r="A16" s="1" t="s">
        <v>359</v>
      </c>
      <c r="Q16" s="9"/>
    </row>
    <row r="17" ht="14.25" customHeight="1">
      <c r="A17" s="4" t="s">
        <v>360</v>
      </c>
      <c r="D17" s="1" t="s">
        <v>361</v>
      </c>
      <c r="Q17" s="9"/>
    </row>
    <row r="18" ht="14.25" customHeight="1">
      <c r="A18" s="1" t="s">
        <v>362</v>
      </c>
      <c r="Q18" s="9"/>
    </row>
    <row r="19" ht="14.25" customHeight="1">
      <c r="A19" s="1" t="s">
        <v>363</v>
      </c>
      <c r="Q19" s="9"/>
    </row>
    <row r="20" ht="14.25" customHeight="1">
      <c r="A20" s="4" t="s">
        <v>364</v>
      </c>
      <c r="G20" s="1" t="s">
        <v>365</v>
      </c>
      <c r="Q20" s="9"/>
    </row>
    <row r="21" ht="14.25" customHeight="1">
      <c r="A21" s="1" t="s">
        <v>366</v>
      </c>
      <c r="Q21" s="9"/>
    </row>
    <row r="22" ht="14.25" customHeight="1">
      <c r="A22" s="4" t="s">
        <v>367</v>
      </c>
      <c r="F22" s="1" t="s">
        <v>368</v>
      </c>
      <c r="Q22" s="9"/>
    </row>
    <row r="23" ht="14.25" customHeight="1">
      <c r="A23" s="1" t="s">
        <v>369</v>
      </c>
      <c r="Q23" s="9"/>
    </row>
    <row r="24" ht="14.25" customHeight="1">
      <c r="A24" s="8" t="s">
        <v>370</v>
      </c>
      <c r="Q24" s="9"/>
    </row>
    <row r="25" ht="14.25" customHeight="1">
      <c r="A25" s="12" t="s">
        <v>371</v>
      </c>
      <c r="E25" s="1" t="s">
        <v>372</v>
      </c>
      <c r="Q25" s="9"/>
    </row>
    <row r="26" ht="14.25" customHeight="1">
      <c r="A26" s="12" t="s">
        <v>373</v>
      </c>
      <c r="E26" s="1" t="s">
        <v>374</v>
      </c>
      <c r="Q26" s="9"/>
    </row>
    <row r="27" ht="14.25" customHeight="1">
      <c r="A27" s="12" t="s">
        <v>375</v>
      </c>
      <c r="E27" s="1" t="s">
        <v>376</v>
      </c>
      <c r="Q27" s="9"/>
    </row>
    <row r="28" ht="14.25" customHeight="1">
      <c r="A28" s="1" t="s">
        <v>377</v>
      </c>
      <c r="Q28" s="9"/>
    </row>
    <row r="29" ht="14.25" customHeight="1">
      <c r="Q29" s="9"/>
    </row>
    <row r="30" ht="14.25" customHeight="1">
      <c r="A30" s="11" t="s">
        <v>378</v>
      </c>
      <c r="B30" s="11"/>
      <c r="C30" s="11"/>
      <c r="Q30" s="9"/>
    </row>
    <row r="31" ht="14.25" customHeight="1">
      <c r="A31" s="11" t="s">
        <v>379</v>
      </c>
      <c r="B31" s="11"/>
      <c r="C31" s="11"/>
      <c r="G31" s="1" t="s">
        <v>380</v>
      </c>
      <c r="Q31" s="9"/>
    </row>
    <row r="32" ht="14.25" customHeight="1">
      <c r="A32" s="11" t="s">
        <v>381</v>
      </c>
      <c r="B32" s="11"/>
      <c r="C32" s="11"/>
      <c r="Q32" s="9"/>
    </row>
    <row r="33" ht="14.25" customHeight="1">
      <c r="Q33" s="9"/>
    </row>
    <row r="34" ht="14.25" customHeight="1">
      <c r="A34" s="8" t="s">
        <v>382</v>
      </c>
      <c r="Q34" s="9"/>
    </row>
    <row r="35" ht="14.25" customHeight="1">
      <c r="A35" s="1" t="s">
        <v>383</v>
      </c>
      <c r="Q35" s="9"/>
    </row>
    <row r="36" ht="14.25" customHeight="1">
      <c r="A36" s="1" t="s">
        <v>384</v>
      </c>
      <c r="Q36" s="9"/>
    </row>
    <row r="37" ht="14.25" customHeight="1">
      <c r="A37" s="1" t="s">
        <v>385</v>
      </c>
      <c r="Q37" s="9"/>
    </row>
    <row r="38" ht="14.25" customHeight="1">
      <c r="Q38" s="9"/>
    </row>
    <row r="39" ht="14.25" customHeight="1">
      <c r="A39" s="12" t="s">
        <v>386</v>
      </c>
      <c r="Q39" s="9"/>
    </row>
    <row r="40" ht="14.25" customHeight="1">
      <c r="A40" s="8" t="s">
        <v>387</v>
      </c>
      <c r="Q40" s="9"/>
    </row>
    <row r="41" ht="14.25" customHeight="1">
      <c r="A41" s="1" t="s">
        <v>388</v>
      </c>
      <c r="Q41" s="9"/>
    </row>
    <row r="42" ht="14.25" customHeight="1">
      <c r="A42" s="12" t="s">
        <v>389</v>
      </c>
      <c r="Q42" s="9"/>
    </row>
    <row r="43" ht="14.25" customHeight="1">
      <c r="A43" s="13" t="s">
        <v>390</v>
      </c>
      <c r="Q43" s="9"/>
    </row>
    <row r="44" ht="14.25" customHeight="1">
      <c r="A44" s="13" t="s">
        <v>391</v>
      </c>
      <c r="Q44" s="9"/>
    </row>
    <row r="45" ht="14.25" customHeight="1">
      <c r="A45" s="8"/>
      <c r="Q45" s="9"/>
    </row>
    <row r="46" ht="14.25" customHeight="1">
      <c r="A46" s="8" t="s">
        <v>392</v>
      </c>
      <c r="Q46" s="9"/>
    </row>
    <row r="47" ht="14.25" customHeight="1">
      <c r="A47" s="1" t="s">
        <v>393</v>
      </c>
      <c r="B47" s="1" t="s">
        <v>394</v>
      </c>
      <c r="C47" s="1" t="s">
        <v>395</v>
      </c>
      <c r="D47" s="1" t="s">
        <v>396</v>
      </c>
      <c r="E47" s="1" t="s">
        <v>397</v>
      </c>
      <c r="Q47" s="9"/>
    </row>
    <row r="48" ht="14.25" customHeight="1">
      <c r="A48" s="1" t="s">
        <v>398</v>
      </c>
      <c r="E48" s="1" t="s">
        <v>399</v>
      </c>
      <c r="L48" s="1" t="s">
        <v>400</v>
      </c>
      <c r="Q48" s="9"/>
    </row>
    <row r="49" ht="14.25" customHeight="1">
      <c r="A49" s="1" t="s">
        <v>401</v>
      </c>
      <c r="E49" s="1" t="s">
        <v>402</v>
      </c>
      <c r="Q49" s="9"/>
    </row>
    <row r="50" ht="14.25" customHeight="1">
      <c r="A50" s="1" t="s">
        <v>403</v>
      </c>
      <c r="E50" s="1" t="s">
        <v>404</v>
      </c>
      <c r="Q50" s="9"/>
    </row>
    <row r="51" ht="14.25" customHeight="1">
      <c r="A51" s="1" t="s">
        <v>405</v>
      </c>
      <c r="E51" s="1" t="s">
        <v>406</v>
      </c>
      <c r="Q51" s="9"/>
    </row>
    <row r="52" ht="14.25" customHeight="1">
      <c r="Q52" s="9"/>
    </row>
    <row r="53" ht="14.25" customHeight="1">
      <c r="A53" s="8" t="s">
        <v>407</v>
      </c>
      <c r="Q53" s="9"/>
    </row>
    <row r="54" ht="14.25" customHeight="1">
      <c r="A54" s="12" t="s">
        <v>408</v>
      </c>
      <c r="Q54" s="9"/>
    </row>
    <row r="55" ht="14.25" customHeight="1">
      <c r="A55" s="12" t="s">
        <v>409</v>
      </c>
      <c r="Q55" s="9"/>
    </row>
    <row r="56" ht="14.25" customHeight="1">
      <c r="A56" s="12" t="s">
        <v>410</v>
      </c>
      <c r="Q56" s="9"/>
    </row>
    <row r="57" ht="14.25" customHeight="1">
      <c r="A57" s="12" t="s">
        <v>411</v>
      </c>
      <c r="Q57" s="9"/>
    </row>
    <row r="58" ht="14.25" customHeight="1">
      <c r="A58" s="14" t="s">
        <v>412</v>
      </c>
      <c r="Q58" s="9"/>
    </row>
    <row r="59" ht="14.25" customHeight="1">
      <c r="Q59" s="9"/>
    </row>
    <row r="60" ht="14.25" customHeight="1">
      <c r="A60" s="8" t="s">
        <v>413</v>
      </c>
      <c r="Q60" s="9"/>
    </row>
    <row r="61" ht="14.25" customHeight="1">
      <c r="A61" s="1" t="s">
        <v>414</v>
      </c>
      <c r="Q61" s="9"/>
    </row>
    <row r="62" ht="14.25" customHeight="1">
      <c r="A62" s="1" t="s">
        <v>415</v>
      </c>
      <c r="Q62" s="9"/>
    </row>
    <row r="63" ht="14.25" customHeight="1">
      <c r="A63" s="1" t="s">
        <v>416</v>
      </c>
      <c r="Q63" s="9"/>
    </row>
    <row r="64" ht="14.25" customHeight="1">
      <c r="Q64" s="9"/>
    </row>
    <row r="65" ht="14.25" customHeight="1">
      <c r="Q65" s="9"/>
    </row>
    <row r="66" ht="14.25" customHeight="1">
      <c r="Q66" s="9"/>
    </row>
    <row r="67" ht="14.25" customHeight="1">
      <c r="Q67" s="9"/>
    </row>
    <row r="68" ht="14.25" customHeight="1">
      <c r="Q68" s="9"/>
    </row>
    <row r="69" ht="14.25" customHeight="1">
      <c r="Q69" s="9"/>
    </row>
    <row r="70" ht="14.25" customHeight="1">
      <c r="Q70" s="9"/>
    </row>
    <row r="71" ht="14.25" customHeight="1">
      <c r="Q71" s="9"/>
    </row>
    <row r="72" ht="14.25" customHeight="1">
      <c r="Q72" s="9"/>
    </row>
    <row r="73" ht="14.25" customHeight="1">
      <c r="Q73" s="9"/>
    </row>
    <row r="74" ht="14.25" customHeight="1">
      <c r="Q74" s="9"/>
    </row>
    <row r="75" ht="14.25" customHeight="1">
      <c r="Q75" s="9"/>
    </row>
    <row r="76" ht="14.25" customHeight="1">
      <c r="Q76" s="9"/>
    </row>
    <row r="77" ht="14.25" customHeight="1">
      <c r="Q77" s="9"/>
    </row>
    <row r="78" ht="14.25" customHeight="1">
      <c r="Q78" s="9"/>
    </row>
    <row r="79" ht="14.25" customHeight="1">
      <c r="Q79" s="9"/>
    </row>
    <row r="80" ht="14.25" customHeight="1">
      <c r="Q80" s="9"/>
    </row>
    <row r="81" ht="14.25" customHeight="1">
      <c r="Q81" s="9"/>
    </row>
    <row r="82" ht="14.25" customHeight="1">
      <c r="Q82" s="9"/>
    </row>
    <row r="83" ht="14.25" customHeight="1">
      <c r="Q83" s="9"/>
    </row>
    <row r="84" ht="14.25" customHeight="1">
      <c r="Q84" s="9"/>
    </row>
    <row r="85" ht="14.25" customHeight="1">
      <c r="Q85" s="9"/>
    </row>
    <row r="86" ht="14.25" customHeight="1">
      <c r="Q86" s="9"/>
    </row>
    <row r="87" ht="14.25" customHeight="1">
      <c r="Q87" s="9"/>
    </row>
    <row r="88" ht="14.25" customHeight="1">
      <c r="Q88" s="9"/>
    </row>
    <row r="89" ht="14.25" customHeight="1">
      <c r="Q89" s="9"/>
    </row>
    <row r="90" ht="14.25" customHeight="1">
      <c r="Q90" s="9"/>
    </row>
    <row r="91" ht="14.25" customHeight="1">
      <c r="Q91" s="9"/>
    </row>
    <row r="92" ht="14.25" customHeight="1">
      <c r="Q92" s="9"/>
    </row>
    <row r="93" ht="14.25" customHeight="1">
      <c r="Q93" s="9"/>
    </row>
    <row r="94" ht="14.25" customHeight="1">
      <c r="Q94" s="9"/>
    </row>
    <row r="95" ht="14.25" customHeight="1">
      <c r="Q95" s="9"/>
    </row>
    <row r="96" ht="14.25" customHeight="1">
      <c r="Q96" s="9"/>
    </row>
    <row r="97" ht="14.25" customHeight="1">
      <c r="Q97" s="9"/>
    </row>
    <row r="98" ht="14.25" customHeight="1">
      <c r="Q98" s="9"/>
    </row>
    <row r="99" ht="14.25" customHeight="1">
      <c r="Q99" s="9"/>
    </row>
    <row r="100" ht="14.25" customHeight="1">
      <c r="Q100" s="9"/>
    </row>
    <row r="101" ht="14.25" customHeight="1">
      <c r="Q101" s="9"/>
    </row>
    <row r="102" ht="14.25" customHeight="1">
      <c r="Q102" s="9"/>
    </row>
    <row r="103" ht="14.25" customHeight="1">
      <c r="Q103" s="9"/>
    </row>
    <row r="104" ht="14.25" customHeight="1">
      <c r="Q104" s="9"/>
    </row>
    <row r="105" ht="14.25" customHeight="1">
      <c r="Q105" s="9"/>
    </row>
    <row r="106" ht="14.25" customHeight="1">
      <c r="Q106" s="9"/>
    </row>
    <row r="107" ht="14.25" customHeight="1">
      <c r="Q107" s="9"/>
    </row>
    <row r="108" ht="14.25" customHeight="1">
      <c r="Q108" s="9"/>
    </row>
    <row r="109" ht="14.25" customHeight="1">
      <c r="Q109" s="9"/>
    </row>
    <row r="110" ht="14.25" customHeight="1">
      <c r="Q110" s="9"/>
    </row>
    <row r="111" ht="14.25" customHeight="1">
      <c r="Q111" s="9"/>
    </row>
    <row r="112" ht="14.25" customHeight="1">
      <c r="Q112" s="9"/>
    </row>
    <row r="113" ht="14.25" customHeight="1">
      <c r="Q113" s="9"/>
    </row>
    <row r="114" ht="14.25" customHeight="1">
      <c r="Q114" s="9"/>
    </row>
    <row r="115" ht="14.25" customHeight="1">
      <c r="Q115" s="9"/>
    </row>
    <row r="116" ht="14.25" customHeight="1">
      <c r="Q116" s="9"/>
    </row>
    <row r="117" ht="14.25" customHeight="1">
      <c r="Q117" s="9"/>
    </row>
    <row r="118" ht="14.25" customHeight="1">
      <c r="Q118" s="9"/>
    </row>
    <row r="119" ht="14.25" customHeight="1">
      <c r="Q119" s="9"/>
    </row>
    <row r="120" ht="14.25" customHeight="1">
      <c r="Q120" s="9"/>
    </row>
    <row r="121" ht="14.25" customHeight="1">
      <c r="Q121" s="9"/>
    </row>
    <row r="122" ht="14.25" customHeight="1">
      <c r="Q122" s="9"/>
    </row>
    <row r="123" ht="14.25" customHeight="1">
      <c r="Q123" s="9"/>
    </row>
    <row r="124" ht="14.25" customHeight="1">
      <c r="Q124" s="9"/>
    </row>
    <row r="125" ht="14.25" customHeight="1">
      <c r="Q125" s="9"/>
    </row>
    <row r="126" ht="14.25" customHeight="1">
      <c r="Q126" s="9"/>
    </row>
    <row r="127" ht="14.25" customHeight="1">
      <c r="Q127" s="9"/>
    </row>
    <row r="128" ht="14.25" customHeight="1">
      <c r="Q128" s="9"/>
    </row>
    <row r="129" ht="14.25" customHeight="1">
      <c r="Q129" s="9"/>
    </row>
    <row r="130" ht="14.25" customHeight="1">
      <c r="Q130" s="9"/>
    </row>
    <row r="131" ht="14.25" customHeight="1">
      <c r="Q131" s="9"/>
    </row>
    <row r="132" ht="14.25" customHeight="1">
      <c r="Q132" s="9"/>
    </row>
    <row r="133" ht="14.25" customHeight="1">
      <c r="Q133" s="9"/>
    </row>
    <row r="134" ht="14.25" customHeight="1">
      <c r="Q134" s="9"/>
    </row>
    <row r="135" ht="14.25" customHeight="1">
      <c r="Q135" s="9"/>
    </row>
    <row r="136" ht="14.25" customHeight="1">
      <c r="Q136" s="9"/>
    </row>
    <row r="137" ht="14.25" customHeight="1">
      <c r="Q137" s="9"/>
    </row>
    <row r="138" ht="14.25" customHeight="1">
      <c r="Q138" s="9"/>
    </row>
    <row r="139" ht="14.25" customHeight="1">
      <c r="Q139" s="9"/>
    </row>
    <row r="140" ht="14.25" customHeight="1">
      <c r="Q140" s="9"/>
    </row>
    <row r="141" ht="14.25" customHeight="1">
      <c r="Q141" s="9"/>
    </row>
    <row r="142" ht="14.25" customHeight="1">
      <c r="Q142" s="9"/>
    </row>
    <row r="143" ht="14.25" customHeight="1">
      <c r="Q143" s="9"/>
    </row>
    <row r="144" ht="14.25" customHeight="1">
      <c r="Q144" s="9"/>
    </row>
    <row r="145" ht="14.25" customHeight="1">
      <c r="Q145" s="9"/>
    </row>
    <row r="146" ht="14.25" customHeight="1">
      <c r="Q146" s="9"/>
    </row>
    <row r="147" ht="14.25" customHeight="1">
      <c r="Q147" s="9"/>
    </row>
    <row r="148" ht="14.25" customHeight="1">
      <c r="Q148" s="9"/>
    </row>
    <row r="149" ht="14.25" customHeight="1">
      <c r="Q149" s="9"/>
    </row>
    <row r="150" ht="14.25" customHeight="1">
      <c r="Q150" s="9"/>
    </row>
    <row r="151" ht="14.25" customHeight="1">
      <c r="Q151" s="9"/>
    </row>
    <row r="152" ht="14.25" customHeight="1">
      <c r="Q152" s="9"/>
    </row>
    <row r="153" ht="14.25" customHeight="1">
      <c r="Q153" s="9"/>
    </row>
    <row r="154" ht="14.25" customHeight="1">
      <c r="Q154" s="9"/>
    </row>
    <row r="155" ht="14.25" customHeight="1">
      <c r="Q155" s="9"/>
    </row>
    <row r="156" ht="14.25" customHeight="1">
      <c r="Q156" s="9"/>
    </row>
    <row r="157" ht="14.25" customHeight="1">
      <c r="Q157" s="9"/>
    </row>
    <row r="158" ht="14.25" customHeight="1">
      <c r="Q158" s="9"/>
    </row>
    <row r="159" ht="14.25" customHeight="1">
      <c r="Q159" s="9"/>
    </row>
    <row r="160" ht="14.25" customHeight="1">
      <c r="Q160" s="9"/>
    </row>
    <row r="161" ht="14.25" customHeight="1">
      <c r="Q161" s="9"/>
    </row>
    <row r="162" ht="14.25" customHeight="1">
      <c r="Q162" s="9"/>
    </row>
    <row r="163" ht="14.25" customHeight="1">
      <c r="Q163" s="9"/>
    </row>
    <row r="164" ht="14.25" customHeight="1">
      <c r="Q164" s="9"/>
    </row>
    <row r="165" ht="14.25" customHeight="1">
      <c r="Q165" s="9"/>
    </row>
    <row r="166" ht="14.25" customHeight="1">
      <c r="Q166" s="9"/>
    </row>
    <row r="167" ht="14.25" customHeight="1">
      <c r="Q167" s="9"/>
    </row>
    <row r="168" ht="14.25" customHeight="1">
      <c r="Q168" s="9"/>
    </row>
    <row r="169" ht="14.25" customHeight="1">
      <c r="Q169" s="9"/>
    </row>
    <row r="170" ht="14.25" customHeight="1">
      <c r="Q170" s="9"/>
    </row>
    <row r="171" ht="14.25" customHeight="1">
      <c r="Q171" s="9"/>
    </row>
    <row r="172" ht="14.25" customHeight="1">
      <c r="Q172" s="9"/>
    </row>
    <row r="173" ht="14.25" customHeight="1">
      <c r="Q173" s="9"/>
    </row>
    <row r="174" ht="14.25" customHeight="1">
      <c r="Q174" s="9"/>
    </row>
    <row r="175" ht="14.25" customHeight="1">
      <c r="Q175" s="9"/>
    </row>
    <row r="176" ht="14.25" customHeight="1">
      <c r="Q176" s="9"/>
    </row>
    <row r="177" ht="14.25" customHeight="1">
      <c r="Q177" s="9"/>
    </row>
    <row r="178" ht="14.25" customHeight="1">
      <c r="Q178" s="9"/>
    </row>
    <row r="179" ht="14.25" customHeight="1">
      <c r="Q179" s="9"/>
    </row>
    <row r="180" ht="14.25" customHeight="1">
      <c r="Q180" s="9"/>
    </row>
    <row r="181" ht="14.25" customHeight="1">
      <c r="Q181" s="9"/>
    </row>
    <row r="182" ht="14.25" customHeight="1">
      <c r="Q182" s="9"/>
    </row>
    <row r="183" ht="14.25" customHeight="1">
      <c r="Q183" s="9"/>
    </row>
    <row r="184" ht="14.25" customHeight="1">
      <c r="Q184" s="9"/>
    </row>
    <row r="185" ht="14.25" customHeight="1">
      <c r="Q185" s="9"/>
    </row>
    <row r="186" ht="14.25" customHeight="1">
      <c r="Q186" s="9"/>
    </row>
    <row r="187" ht="14.25" customHeight="1">
      <c r="Q187" s="9"/>
    </row>
    <row r="188" ht="14.25" customHeight="1">
      <c r="Q188" s="9"/>
    </row>
    <row r="189" ht="14.25" customHeight="1">
      <c r="Q189" s="9"/>
    </row>
    <row r="190" ht="14.25" customHeight="1">
      <c r="Q190" s="9"/>
    </row>
    <row r="191" ht="14.25" customHeight="1">
      <c r="Q191" s="9"/>
    </row>
    <row r="192" ht="14.25" customHeight="1">
      <c r="Q192" s="9"/>
    </row>
    <row r="193" ht="14.25" customHeight="1">
      <c r="Q193" s="9"/>
    </row>
    <row r="194" ht="14.25" customHeight="1">
      <c r="Q194" s="9"/>
    </row>
    <row r="195" ht="14.25" customHeight="1">
      <c r="Q195" s="9"/>
    </row>
    <row r="196" ht="14.25" customHeight="1">
      <c r="Q196" s="9"/>
    </row>
    <row r="197" ht="14.25" customHeight="1">
      <c r="Q197" s="9"/>
    </row>
    <row r="198" ht="14.25" customHeight="1">
      <c r="Q198" s="9"/>
    </row>
    <row r="199" ht="14.25" customHeight="1">
      <c r="Q199" s="9"/>
    </row>
    <row r="200" ht="14.25" customHeight="1">
      <c r="Q200" s="9"/>
    </row>
    <row r="201" ht="14.25" customHeight="1">
      <c r="Q201" s="9"/>
    </row>
    <row r="202" ht="14.25" customHeight="1">
      <c r="Q202" s="9"/>
    </row>
    <row r="203" ht="14.25" customHeight="1">
      <c r="Q203" s="9"/>
    </row>
    <row r="204" ht="14.25" customHeight="1">
      <c r="Q204" s="9"/>
    </row>
    <row r="205" ht="14.25" customHeight="1">
      <c r="Q205" s="9"/>
    </row>
    <row r="206" ht="14.25" customHeight="1">
      <c r="Q206" s="9"/>
    </row>
    <row r="207" ht="14.25" customHeight="1">
      <c r="Q207" s="9"/>
    </row>
    <row r="208" ht="14.25" customHeight="1">
      <c r="Q208" s="9"/>
    </row>
    <row r="209" ht="14.25" customHeight="1">
      <c r="Q209" s="9"/>
    </row>
    <row r="210" ht="14.25" customHeight="1">
      <c r="Q210" s="9"/>
    </row>
    <row r="211" ht="14.25" customHeight="1">
      <c r="Q211" s="9"/>
    </row>
    <row r="212" ht="14.25" customHeight="1">
      <c r="Q212" s="9"/>
    </row>
    <row r="213" ht="14.25" customHeight="1">
      <c r="Q213" s="9"/>
    </row>
    <row r="214" ht="14.25" customHeight="1">
      <c r="Q214" s="9"/>
    </row>
    <row r="215" ht="14.25" customHeight="1">
      <c r="Q215" s="9"/>
    </row>
    <row r="216" ht="14.25" customHeight="1">
      <c r="Q216" s="9"/>
    </row>
    <row r="217" ht="14.25" customHeight="1">
      <c r="Q217" s="9"/>
    </row>
    <row r="218" ht="14.25" customHeight="1">
      <c r="Q218" s="9"/>
    </row>
    <row r="219" ht="14.25" customHeight="1">
      <c r="Q219" s="9"/>
    </row>
    <row r="220" ht="14.25" customHeight="1">
      <c r="Q220" s="9"/>
    </row>
    <row r="221" ht="14.25" customHeight="1">
      <c r="Q221" s="9"/>
    </row>
    <row r="222" ht="14.25" customHeight="1">
      <c r="Q222" s="9"/>
    </row>
    <row r="223" ht="14.25" customHeight="1">
      <c r="Q223" s="9"/>
    </row>
    <row r="224" ht="14.25" customHeight="1">
      <c r="Q224" s="9"/>
    </row>
    <row r="225" ht="14.25" customHeight="1">
      <c r="Q225" s="9"/>
    </row>
    <row r="226" ht="14.25" customHeight="1">
      <c r="Q226" s="9"/>
    </row>
    <row r="227" ht="14.25" customHeight="1">
      <c r="Q227" s="9"/>
    </row>
    <row r="228" ht="14.25" customHeight="1">
      <c r="Q228" s="9"/>
    </row>
    <row r="229" ht="14.25" customHeight="1">
      <c r="Q229" s="9"/>
    </row>
    <row r="230" ht="14.25" customHeight="1">
      <c r="Q230" s="9"/>
    </row>
    <row r="231" ht="14.25" customHeight="1">
      <c r="Q231" s="9"/>
    </row>
    <row r="232" ht="14.25" customHeight="1">
      <c r="Q232" s="9"/>
    </row>
    <row r="233" ht="14.25" customHeight="1">
      <c r="Q233" s="9"/>
    </row>
    <row r="234" ht="14.25" customHeight="1">
      <c r="Q234" s="9"/>
    </row>
    <row r="235" ht="14.25" customHeight="1">
      <c r="Q235" s="9"/>
    </row>
    <row r="236" ht="14.25" customHeight="1">
      <c r="Q236" s="9"/>
    </row>
    <row r="237" ht="14.25" customHeight="1">
      <c r="Q237" s="9"/>
    </row>
    <row r="238" ht="14.25" customHeight="1">
      <c r="Q238" s="9"/>
    </row>
    <row r="239" ht="14.25" customHeight="1">
      <c r="Q239" s="9"/>
    </row>
    <row r="240" ht="14.25" customHeight="1">
      <c r="Q240" s="9"/>
    </row>
    <row r="241" ht="14.25" customHeight="1">
      <c r="Q241" s="9"/>
    </row>
    <row r="242" ht="14.25" customHeight="1">
      <c r="Q242" s="9"/>
    </row>
    <row r="243" ht="14.25" customHeight="1">
      <c r="Q243" s="9"/>
    </row>
    <row r="244" ht="14.25" customHeight="1">
      <c r="Q244" s="9"/>
    </row>
    <row r="245" ht="14.25" customHeight="1">
      <c r="Q245" s="9"/>
    </row>
    <row r="246" ht="14.25" customHeight="1">
      <c r="Q246" s="9"/>
    </row>
    <row r="247" ht="14.25" customHeight="1">
      <c r="Q247" s="9"/>
    </row>
    <row r="248" ht="14.25" customHeight="1">
      <c r="Q248" s="9"/>
    </row>
    <row r="249" ht="14.25" customHeight="1">
      <c r="Q249" s="9"/>
    </row>
    <row r="250" ht="14.25" customHeight="1">
      <c r="Q250" s="9"/>
    </row>
    <row r="251" ht="14.25" customHeight="1">
      <c r="Q251" s="9"/>
    </row>
    <row r="252" ht="14.25" customHeight="1">
      <c r="Q252" s="9"/>
    </row>
    <row r="253" ht="14.25" customHeight="1">
      <c r="Q253" s="9"/>
    </row>
    <row r="254" ht="14.25" customHeight="1">
      <c r="Q254" s="9"/>
    </row>
    <row r="255" ht="14.25" customHeight="1">
      <c r="Q255" s="9"/>
    </row>
    <row r="256" ht="14.25" customHeight="1">
      <c r="Q256" s="9"/>
    </row>
    <row r="257" ht="14.25" customHeight="1">
      <c r="Q257" s="9"/>
    </row>
    <row r="258" ht="14.25" customHeight="1">
      <c r="Q258" s="9"/>
    </row>
    <row r="259" ht="14.25" customHeight="1">
      <c r="Q259" s="9"/>
    </row>
    <row r="260" ht="14.25" customHeight="1">
      <c r="Q260" s="9"/>
    </row>
    <row r="261" ht="14.25" customHeight="1">
      <c r="Q261" s="9"/>
    </row>
    <row r="262" ht="14.25" customHeight="1">
      <c r="Q262" s="9"/>
    </row>
    <row r="263" ht="14.25" customHeight="1">
      <c r="Q263" s="9"/>
    </row>
    <row r="264" ht="14.25" customHeight="1">
      <c r="Q264" s="9"/>
    </row>
    <row r="265" ht="14.25" customHeight="1">
      <c r="Q265" s="9"/>
    </row>
    <row r="266" ht="14.25" customHeight="1">
      <c r="Q266" s="9"/>
    </row>
    <row r="267" ht="14.25" customHeight="1">
      <c r="Q267" s="9"/>
    </row>
    <row r="268" ht="14.25" customHeight="1">
      <c r="Q268" s="9"/>
    </row>
    <row r="269" ht="14.25" customHeight="1">
      <c r="Q269" s="9"/>
    </row>
    <row r="270" ht="14.25" customHeight="1">
      <c r="Q270" s="9"/>
    </row>
    <row r="271" ht="14.25" customHeight="1">
      <c r="Q271" s="9"/>
    </row>
    <row r="272" ht="14.25" customHeight="1">
      <c r="Q272" s="9"/>
    </row>
    <row r="273" ht="14.25" customHeight="1">
      <c r="Q273" s="9"/>
    </row>
    <row r="274" ht="14.25" customHeight="1">
      <c r="Q274" s="9"/>
    </row>
    <row r="275" ht="14.25" customHeight="1">
      <c r="Q275" s="9"/>
    </row>
    <row r="276" ht="14.25" customHeight="1">
      <c r="Q276" s="9"/>
    </row>
    <row r="277" ht="14.25" customHeight="1">
      <c r="Q277" s="9"/>
    </row>
    <row r="278" ht="14.25" customHeight="1">
      <c r="Q278" s="9"/>
    </row>
    <row r="279" ht="14.25" customHeight="1">
      <c r="Q279" s="9"/>
    </row>
    <row r="280" ht="14.25" customHeight="1">
      <c r="Q280" s="9"/>
    </row>
    <row r="281" ht="14.25" customHeight="1">
      <c r="Q281" s="9"/>
    </row>
    <row r="282" ht="14.25" customHeight="1">
      <c r="Q282" s="9"/>
    </row>
    <row r="283" ht="14.25" customHeight="1">
      <c r="Q283" s="9"/>
    </row>
    <row r="284" ht="14.25" customHeight="1">
      <c r="Q284" s="9"/>
    </row>
    <row r="285" ht="14.25" customHeight="1">
      <c r="Q285" s="9"/>
    </row>
    <row r="286" ht="14.25" customHeight="1">
      <c r="Q286" s="9"/>
    </row>
    <row r="287" ht="14.25" customHeight="1">
      <c r="Q287" s="9"/>
    </row>
    <row r="288" ht="14.25" customHeight="1">
      <c r="Q288" s="9"/>
    </row>
    <row r="289" ht="14.25" customHeight="1">
      <c r="Q289" s="9"/>
    </row>
    <row r="290" ht="14.25" customHeight="1">
      <c r="Q290" s="9"/>
    </row>
    <row r="291" ht="14.25" customHeight="1">
      <c r="Q291" s="9"/>
    </row>
    <row r="292" ht="14.25" customHeight="1">
      <c r="Q292" s="9"/>
    </row>
    <row r="293" ht="14.25" customHeight="1">
      <c r="Q293" s="9"/>
    </row>
    <row r="294" ht="14.25" customHeight="1">
      <c r="Q294" s="9"/>
    </row>
    <row r="295" ht="14.25" customHeight="1">
      <c r="Q295" s="9"/>
    </row>
    <row r="296" ht="14.25" customHeight="1">
      <c r="Q296" s="9"/>
    </row>
    <row r="297" ht="14.25" customHeight="1">
      <c r="Q297" s="9"/>
    </row>
    <row r="298" ht="14.25" customHeight="1">
      <c r="Q298" s="9"/>
    </row>
    <row r="299" ht="14.25" customHeight="1">
      <c r="Q299" s="9"/>
    </row>
    <row r="300" ht="14.25" customHeight="1">
      <c r="Q300" s="9"/>
    </row>
    <row r="301" ht="14.25" customHeight="1">
      <c r="Q301" s="9"/>
    </row>
    <row r="302" ht="14.25" customHeight="1">
      <c r="Q302" s="9"/>
    </row>
    <row r="303" ht="14.25" customHeight="1">
      <c r="Q303" s="9"/>
    </row>
    <row r="304" ht="14.25" customHeight="1">
      <c r="Q304" s="9"/>
    </row>
    <row r="305" ht="14.25" customHeight="1">
      <c r="Q305" s="9"/>
    </row>
    <row r="306" ht="14.25" customHeight="1">
      <c r="Q306" s="9"/>
    </row>
    <row r="307" ht="14.25" customHeight="1">
      <c r="Q307" s="9"/>
    </row>
    <row r="308" ht="14.25" customHeight="1">
      <c r="Q308" s="9"/>
    </row>
    <row r="309" ht="14.25" customHeight="1">
      <c r="Q309" s="9"/>
    </row>
    <row r="310" ht="14.25" customHeight="1">
      <c r="Q310" s="9"/>
    </row>
    <row r="311" ht="14.25" customHeight="1">
      <c r="Q311" s="9"/>
    </row>
    <row r="312" ht="14.25" customHeight="1">
      <c r="Q312" s="9"/>
    </row>
    <row r="313" ht="14.25" customHeight="1">
      <c r="Q313" s="9"/>
    </row>
    <row r="314" ht="14.25" customHeight="1">
      <c r="Q314" s="9"/>
    </row>
    <row r="315" ht="14.25" customHeight="1">
      <c r="Q315" s="9"/>
    </row>
    <row r="316" ht="14.25" customHeight="1">
      <c r="Q316" s="9"/>
    </row>
    <row r="317" ht="14.25" customHeight="1">
      <c r="Q317" s="9"/>
    </row>
    <row r="318" ht="14.25" customHeight="1">
      <c r="Q318" s="9"/>
    </row>
    <row r="319" ht="14.25" customHeight="1">
      <c r="Q319" s="9"/>
    </row>
    <row r="320" ht="14.25" customHeight="1">
      <c r="Q320" s="9"/>
    </row>
    <row r="321" ht="14.25" customHeight="1">
      <c r="Q321" s="9"/>
    </row>
    <row r="322" ht="14.25" customHeight="1">
      <c r="Q322" s="9"/>
    </row>
    <row r="323" ht="14.25" customHeight="1">
      <c r="Q323" s="9"/>
    </row>
    <row r="324" ht="14.25" customHeight="1">
      <c r="Q324" s="9"/>
    </row>
    <row r="325" ht="14.25" customHeight="1">
      <c r="Q325" s="9"/>
    </row>
    <row r="326" ht="14.25" customHeight="1">
      <c r="Q326" s="9"/>
    </row>
    <row r="327" ht="14.25" customHeight="1">
      <c r="Q327" s="9"/>
    </row>
    <row r="328" ht="14.25" customHeight="1">
      <c r="Q328" s="9"/>
    </row>
    <row r="329" ht="14.25" customHeight="1">
      <c r="Q329" s="9"/>
    </row>
    <row r="330" ht="14.25" customHeight="1">
      <c r="Q330" s="9"/>
    </row>
    <row r="331" ht="14.25" customHeight="1">
      <c r="Q331" s="9"/>
    </row>
    <row r="332" ht="14.25" customHeight="1">
      <c r="Q332" s="9"/>
    </row>
    <row r="333" ht="14.25" customHeight="1">
      <c r="Q333" s="9"/>
    </row>
    <row r="334" ht="14.25" customHeight="1">
      <c r="Q334" s="9"/>
    </row>
    <row r="335" ht="14.25" customHeight="1">
      <c r="Q335" s="9"/>
    </row>
    <row r="336" ht="14.25" customHeight="1">
      <c r="Q336" s="9"/>
    </row>
    <row r="337" ht="14.25" customHeight="1">
      <c r="Q337" s="9"/>
    </row>
    <row r="338" ht="14.25" customHeight="1">
      <c r="Q338" s="9"/>
    </row>
    <row r="339" ht="14.25" customHeight="1">
      <c r="Q339" s="9"/>
    </row>
    <row r="340" ht="14.25" customHeight="1">
      <c r="Q340" s="9"/>
    </row>
    <row r="341" ht="14.25" customHeight="1">
      <c r="Q341" s="9"/>
    </row>
    <row r="342" ht="14.25" customHeight="1">
      <c r="Q342" s="9"/>
    </row>
    <row r="343" ht="14.25" customHeight="1">
      <c r="Q343" s="9"/>
    </row>
    <row r="344" ht="14.25" customHeight="1">
      <c r="Q344" s="9"/>
    </row>
    <row r="345" ht="14.25" customHeight="1">
      <c r="Q345" s="9"/>
    </row>
    <row r="346" ht="14.25" customHeight="1">
      <c r="Q346" s="9"/>
    </row>
    <row r="347" ht="14.25" customHeight="1">
      <c r="Q347" s="9"/>
    </row>
    <row r="348" ht="14.25" customHeight="1">
      <c r="Q348" s="9"/>
    </row>
    <row r="349" ht="14.25" customHeight="1">
      <c r="Q349" s="9"/>
    </row>
    <row r="350" ht="14.25" customHeight="1">
      <c r="Q350" s="9"/>
    </row>
    <row r="351" ht="14.25" customHeight="1">
      <c r="Q351" s="9"/>
    </row>
    <row r="352" ht="14.25" customHeight="1">
      <c r="Q352" s="9"/>
    </row>
    <row r="353" ht="14.25" customHeight="1">
      <c r="Q353" s="9"/>
    </row>
    <row r="354" ht="14.25" customHeight="1">
      <c r="Q354" s="9"/>
    </row>
    <row r="355" ht="14.25" customHeight="1">
      <c r="Q355" s="9"/>
    </row>
    <row r="356" ht="14.25" customHeight="1">
      <c r="Q356" s="9"/>
    </row>
    <row r="357" ht="14.25" customHeight="1">
      <c r="Q357" s="9"/>
    </row>
    <row r="358" ht="14.25" customHeight="1">
      <c r="Q358" s="9"/>
    </row>
    <row r="359" ht="14.25" customHeight="1">
      <c r="Q359" s="9"/>
    </row>
    <row r="360" ht="14.25" customHeight="1">
      <c r="Q360" s="9"/>
    </row>
    <row r="361" ht="14.25" customHeight="1">
      <c r="Q361" s="9"/>
    </row>
    <row r="362" ht="14.25" customHeight="1">
      <c r="Q362" s="9"/>
    </row>
    <row r="363" ht="14.25" customHeight="1">
      <c r="Q363" s="9"/>
    </row>
    <row r="364" ht="14.25" customHeight="1">
      <c r="Q364" s="9"/>
    </row>
    <row r="365" ht="14.25" customHeight="1">
      <c r="Q365" s="9"/>
    </row>
    <row r="366" ht="14.25" customHeight="1">
      <c r="Q366" s="9"/>
    </row>
    <row r="367" ht="14.25" customHeight="1">
      <c r="Q367" s="9"/>
    </row>
    <row r="368" ht="14.25" customHeight="1">
      <c r="Q368" s="9"/>
    </row>
    <row r="369" ht="14.25" customHeight="1">
      <c r="Q369" s="9"/>
    </row>
    <row r="370" ht="14.25" customHeight="1">
      <c r="Q370" s="9"/>
    </row>
    <row r="371" ht="14.25" customHeight="1">
      <c r="Q371" s="9"/>
    </row>
    <row r="372" ht="14.25" customHeight="1">
      <c r="Q372" s="9"/>
    </row>
    <row r="373" ht="14.25" customHeight="1">
      <c r="Q373" s="9"/>
    </row>
    <row r="374" ht="14.25" customHeight="1">
      <c r="Q374" s="9"/>
    </row>
    <row r="375" ht="14.25" customHeight="1">
      <c r="Q375" s="9"/>
    </row>
    <row r="376" ht="14.25" customHeight="1">
      <c r="Q376" s="9"/>
    </row>
    <row r="377" ht="14.25" customHeight="1">
      <c r="Q377" s="9"/>
    </row>
    <row r="378" ht="14.25" customHeight="1">
      <c r="Q378" s="9"/>
    </row>
    <row r="379" ht="14.25" customHeight="1">
      <c r="Q379" s="9"/>
    </row>
    <row r="380" ht="14.25" customHeight="1">
      <c r="Q380" s="9"/>
    </row>
    <row r="381" ht="14.25" customHeight="1">
      <c r="Q381" s="9"/>
    </row>
    <row r="382" ht="14.25" customHeight="1">
      <c r="Q382" s="9"/>
    </row>
    <row r="383" ht="14.25" customHeight="1">
      <c r="Q383" s="9"/>
    </row>
    <row r="384" ht="14.25" customHeight="1">
      <c r="Q384" s="9"/>
    </row>
    <row r="385" ht="14.25" customHeight="1">
      <c r="Q385" s="9"/>
    </row>
    <row r="386" ht="14.25" customHeight="1">
      <c r="Q386" s="9"/>
    </row>
    <row r="387" ht="14.25" customHeight="1">
      <c r="Q387" s="9"/>
    </row>
    <row r="388" ht="14.25" customHeight="1">
      <c r="Q388" s="9"/>
    </row>
    <row r="389" ht="14.25" customHeight="1">
      <c r="Q389" s="9"/>
    </row>
    <row r="390" ht="14.25" customHeight="1">
      <c r="Q390" s="9"/>
    </row>
    <row r="391" ht="14.25" customHeight="1">
      <c r="Q391" s="9"/>
    </row>
    <row r="392" ht="14.25" customHeight="1">
      <c r="Q392" s="9"/>
    </row>
    <row r="393" ht="14.25" customHeight="1">
      <c r="Q393" s="9"/>
    </row>
    <row r="394" ht="14.25" customHeight="1">
      <c r="Q394" s="9"/>
    </row>
    <row r="395" ht="14.25" customHeight="1">
      <c r="Q395" s="9"/>
    </row>
    <row r="396" ht="14.25" customHeight="1">
      <c r="Q396" s="9"/>
    </row>
    <row r="397" ht="14.25" customHeight="1">
      <c r="Q397" s="9"/>
    </row>
    <row r="398" ht="14.25" customHeight="1">
      <c r="Q398" s="9"/>
    </row>
    <row r="399" ht="14.25" customHeight="1">
      <c r="Q399" s="9"/>
    </row>
    <row r="400" ht="14.25" customHeight="1">
      <c r="Q400" s="9"/>
    </row>
    <row r="401" ht="14.25" customHeight="1">
      <c r="Q401" s="9"/>
    </row>
    <row r="402" ht="14.25" customHeight="1">
      <c r="Q402" s="9"/>
    </row>
    <row r="403" ht="14.25" customHeight="1">
      <c r="Q403" s="9"/>
    </row>
    <row r="404" ht="14.25" customHeight="1">
      <c r="Q404" s="9"/>
    </row>
    <row r="405" ht="14.25" customHeight="1">
      <c r="Q405" s="9"/>
    </row>
    <row r="406" ht="14.25" customHeight="1">
      <c r="Q406" s="9"/>
    </row>
    <row r="407" ht="14.25" customHeight="1">
      <c r="Q407" s="9"/>
    </row>
    <row r="408" ht="14.25" customHeight="1">
      <c r="Q408" s="9"/>
    </row>
    <row r="409" ht="14.25" customHeight="1">
      <c r="Q409" s="9"/>
    </row>
    <row r="410" ht="14.25" customHeight="1">
      <c r="Q410" s="9"/>
    </row>
    <row r="411" ht="14.25" customHeight="1">
      <c r="Q411" s="9"/>
    </row>
    <row r="412" ht="14.25" customHeight="1">
      <c r="Q412" s="9"/>
    </row>
    <row r="413" ht="14.25" customHeight="1">
      <c r="Q413" s="9"/>
    </row>
    <row r="414" ht="14.25" customHeight="1">
      <c r="Q414" s="9"/>
    </row>
    <row r="415" ht="14.25" customHeight="1">
      <c r="Q415" s="9"/>
    </row>
    <row r="416" ht="14.25" customHeight="1">
      <c r="Q416" s="9"/>
    </row>
    <row r="417" ht="14.25" customHeight="1">
      <c r="Q417" s="9"/>
    </row>
    <row r="418" ht="14.25" customHeight="1">
      <c r="Q418" s="9"/>
    </row>
    <row r="419" ht="14.25" customHeight="1">
      <c r="Q419" s="9"/>
    </row>
    <row r="420" ht="14.25" customHeight="1">
      <c r="Q420" s="9"/>
    </row>
    <row r="421" ht="14.25" customHeight="1">
      <c r="Q421" s="9"/>
    </row>
    <row r="422" ht="14.25" customHeight="1">
      <c r="Q422" s="9"/>
    </row>
    <row r="423" ht="14.25" customHeight="1">
      <c r="Q423" s="9"/>
    </row>
    <row r="424" ht="14.25" customHeight="1">
      <c r="Q424" s="9"/>
    </row>
    <row r="425" ht="14.25" customHeight="1">
      <c r="Q425" s="9"/>
    </row>
    <row r="426" ht="14.25" customHeight="1">
      <c r="Q426" s="9"/>
    </row>
    <row r="427" ht="14.25" customHeight="1">
      <c r="Q427" s="9"/>
    </row>
    <row r="428" ht="14.25" customHeight="1">
      <c r="Q428" s="9"/>
    </row>
    <row r="429" ht="14.25" customHeight="1">
      <c r="Q429" s="9"/>
    </row>
    <row r="430" ht="14.25" customHeight="1">
      <c r="Q430" s="9"/>
    </row>
    <row r="431" ht="14.25" customHeight="1">
      <c r="Q431" s="9"/>
    </row>
    <row r="432" ht="14.25" customHeight="1">
      <c r="Q432" s="9"/>
    </row>
    <row r="433" ht="14.25" customHeight="1">
      <c r="Q433" s="9"/>
    </row>
    <row r="434" ht="14.25" customHeight="1">
      <c r="Q434" s="9"/>
    </row>
    <row r="435" ht="14.25" customHeight="1">
      <c r="Q435" s="9"/>
    </row>
    <row r="436" ht="14.25" customHeight="1">
      <c r="Q436" s="9"/>
    </row>
    <row r="437" ht="14.25" customHeight="1">
      <c r="Q437" s="9"/>
    </row>
    <row r="438" ht="14.25" customHeight="1">
      <c r="Q438" s="9"/>
    </row>
    <row r="439" ht="14.25" customHeight="1">
      <c r="Q439" s="9"/>
    </row>
    <row r="440" ht="14.25" customHeight="1">
      <c r="Q440" s="9"/>
    </row>
    <row r="441" ht="14.25" customHeight="1">
      <c r="Q441" s="9"/>
    </row>
    <row r="442" ht="14.25" customHeight="1">
      <c r="Q442" s="9"/>
    </row>
    <row r="443" ht="14.25" customHeight="1">
      <c r="Q443" s="9"/>
    </row>
    <row r="444" ht="14.25" customHeight="1">
      <c r="Q444" s="9"/>
    </row>
    <row r="445" ht="14.25" customHeight="1">
      <c r="Q445" s="9"/>
    </row>
    <row r="446" ht="14.25" customHeight="1">
      <c r="Q446" s="9"/>
    </row>
    <row r="447" ht="14.25" customHeight="1">
      <c r="Q447" s="9"/>
    </row>
    <row r="448" ht="14.25" customHeight="1">
      <c r="Q448" s="9"/>
    </row>
    <row r="449" ht="14.25" customHeight="1">
      <c r="Q449" s="9"/>
    </row>
    <row r="450" ht="14.25" customHeight="1">
      <c r="Q450" s="9"/>
    </row>
    <row r="451" ht="14.25" customHeight="1">
      <c r="Q451" s="9"/>
    </row>
    <row r="452" ht="14.25" customHeight="1">
      <c r="Q452" s="9"/>
    </row>
    <row r="453" ht="14.25" customHeight="1">
      <c r="Q453" s="9"/>
    </row>
    <row r="454" ht="14.25" customHeight="1">
      <c r="Q454" s="9"/>
    </row>
    <row r="455" ht="14.25" customHeight="1">
      <c r="Q455" s="9"/>
    </row>
    <row r="456" ht="14.25" customHeight="1">
      <c r="Q456" s="9"/>
    </row>
    <row r="457" ht="14.25" customHeight="1">
      <c r="Q457" s="9"/>
    </row>
    <row r="458" ht="14.25" customHeight="1">
      <c r="Q458" s="9"/>
    </row>
    <row r="459" ht="14.25" customHeight="1">
      <c r="Q459" s="9"/>
    </row>
    <row r="460" ht="14.25" customHeight="1">
      <c r="Q460" s="9"/>
    </row>
    <row r="461" ht="14.25" customHeight="1">
      <c r="Q461" s="9"/>
    </row>
    <row r="462" ht="14.25" customHeight="1">
      <c r="Q462" s="9"/>
    </row>
    <row r="463" ht="14.25" customHeight="1">
      <c r="Q463" s="9"/>
    </row>
    <row r="464" ht="14.25" customHeight="1">
      <c r="Q464" s="9"/>
    </row>
    <row r="465" ht="14.25" customHeight="1">
      <c r="Q465" s="9"/>
    </row>
    <row r="466" ht="14.25" customHeight="1">
      <c r="Q466" s="9"/>
    </row>
    <row r="467" ht="14.25" customHeight="1">
      <c r="Q467" s="9"/>
    </row>
    <row r="468" ht="14.25" customHeight="1">
      <c r="Q468" s="9"/>
    </row>
    <row r="469" ht="14.25" customHeight="1">
      <c r="Q469" s="9"/>
    </row>
    <row r="470" ht="14.25" customHeight="1">
      <c r="Q470" s="9"/>
    </row>
    <row r="471" ht="14.25" customHeight="1">
      <c r="Q471" s="9"/>
    </row>
    <row r="472" ht="14.25" customHeight="1">
      <c r="Q472" s="9"/>
    </row>
    <row r="473" ht="14.25" customHeight="1">
      <c r="Q473" s="9"/>
    </row>
    <row r="474" ht="14.25" customHeight="1">
      <c r="Q474" s="9"/>
    </row>
    <row r="475" ht="14.25" customHeight="1">
      <c r="Q475" s="9"/>
    </row>
    <row r="476" ht="14.25" customHeight="1">
      <c r="Q476" s="9"/>
    </row>
    <row r="477" ht="14.25" customHeight="1">
      <c r="Q477" s="9"/>
    </row>
    <row r="478" ht="14.25" customHeight="1">
      <c r="Q478" s="9"/>
    </row>
    <row r="479" ht="14.25" customHeight="1">
      <c r="Q479" s="9"/>
    </row>
    <row r="480" ht="14.25" customHeight="1">
      <c r="Q480" s="9"/>
    </row>
    <row r="481" ht="14.25" customHeight="1">
      <c r="Q481" s="9"/>
    </row>
    <row r="482" ht="14.25" customHeight="1">
      <c r="Q482" s="9"/>
    </row>
    <row r="483" ht="14.25" customHeight="1">
      <c r="Q483" s="9"/>
    </row>
    <row r="484" ht="14.25" customHeight="1">
      <c r="Q484" s="9"/>
    </row>
    <row r="485" ht="14.25" customHeight="1">
      <c r="Q485" s="9"/>
    </row>
    <row r="486" ht="14.25" customHeight="1">
      <c r="Q486" s="9"/>
    </row>
    <row r="487" ht="14.25" customHeight="1">
      <c r="Q487" s="9"/>
    </row>
    <row r="488" ht="14.25" customHeight="1">
      <c r="Q488" s="9"/>
    </row>
    <row r="489" ht="14.25" customHeight="1">
      <c r="Q489" s="9"/>
    </row>
    <row r="490" ht="14.25" customHeight="1">
      <c r="Q490" s="9"/>
    </row>
    <row r="491" ht="14.25" customHeight="1">
      <c r="Q491" s="9"/>
    </row>
    <row r="492" ht="14.25" customHeight="1">
      <c r="Q492" s="9"/>
    </row>
    <row r="493" ht="14.25" customHeight="1">
      <c r="Q493" s="9"/>
    </row>
    <row r="494" ht="14.25" customHeight="1">
      <c r="Q494" s="9"/>
    </row>
    <row r="495" ht="14.25" customHeight="1">
      <c r="Q495" s="9"/>
    </row>
    <row r="496" ht="14.25" customHeight="1">
      <c r="Q496" s="9"/>
    </row>
    <row r="497" ht="14.25" customHeight="1">
      <c r="Q497" s="9"/>
    </row>
    <row r="498" ht="14.25" customHeight="1">
      <c r="Q498" s="9"/>
    </row>
    <row r="499" ht="14.25" customHeight="1">
      <c r="Q499" s="9"/>
    </row>
    <row r="500" ht="14.25" customHeight="1">
      <c r="Q500" s="9"/>
    </row>
    <row r="501" ht="14.25" customHeight="1">
      <c r="Q501" s="9"/>
    </row>
    <row r="502" ht="14.25" customHeight="1">
      <c r="Q502" s="9"/>
    </row>
    <row r="503" ht="14.25" customHeight="1">
      <c r="Q503" s="9"/>
    </row>
    <row r="504" ht="14.25" customHeight="1">
      <c r="Q504" s="9"/>
    </row>
    <row r="505" ht="14.25" customHeight="1">
      <c r="Q505" s="9"/>
    </row>
    <row r="506" ht="14.25" customHeight="1">
      <c r="Q506" s="9"/>
    </row>
    <row r="507" ht="14.25" customHeight="1">
      <c r="Q507" s="9"/>
    </row>
    <row r="508" ht="14.25" customHeight="1">
      <c r="Q508" s="9"/>
    </row>
    <row r="509" ht="14.25" customHeight="1">
      <c r="Q509" s="9"/>
    </row>
    <row r="510" ht="14.25" customHeight="1">
      <c r="Q510" s="9"/>
    </row>
    <row r="511" ht="14.25" customHeight="1">
      <c r="Q511" s="9"/>
    </row>
    <row r="512" ht="14.25" customHeight="1">
      <c r="Q512" s="9"/>
    </row>
    <row r="513" ht="14.25" customHeight="1">
      <c r="Q513" s="9"/>
    </row>
    <row r="514" ht="14.25" customHeight="1">
      <c r="Q514" s="9"/>
    </row>
    <row r="515" ht="14.25" customHeight="1">
      <c r="Q515" s="9"/>
    </row>
    <row r="516" ht="14.25" customHeight="1">
      <c r="Q516" s="9"/>
    </row>
    <row r="517" ht="14.25" customHeight="1">
      <c r="Q517" s="9"/>
    </row>
    <row r="518" ht="14.25" customHeight="1">
      <c r="Q518" s="9"/>
    </row>
    <row r="519" ht="14.25" customHeight="1">
      <c r="Q519" s="9"/>
    </row>
    <row r="520" ht="14.25" customHeight="1">
      <c r="Q520" s="9"/>
    </row>
    <row r="521" ht="14.25" customHeight="1">
      <c r="Q521" s="9"/>
    </row>
    <row r="522" ht="14.25" customHeight="1">
      <c r="Q522" s="9"/>
    </row>
    <row r="523" ht="14.25" customHeight="1">
      <c r="Q523" s="9"/>
    </row>
    <row r="524" ht="14.25" customHeight="1">
      <c r="Q524" s="9"/>
    </row>
    <row r="525" ht="14.25" customHeight="1">
      <c r="Q525" s="9"/>
    </row>
    <row r="526" ht="14.25" customHeight="1">
      <c r="Q526" s="9"/>
    </row>
    <row r="527" ht="14.25" customHeight="1">
      <c r="Q527" s="9"/>
    </row>
    <row r="528" ht="14.25" customHeight="1">
      <c r="Q528" s="9"/>
    </row>
    <row r="529" ht="14.25" customHeight="1">
      <c r="Q529" s="9"/>
    </row>
    <row r="530" ht="14.25" customHeight="1">
      <c r="Q530" s="9"/>
    </row>
    <row r="531" ht="14.25" customHeight="1">
      <c r="Q531" s="9"/>
    </row>
    <row r="532" ht="14.25" customHeight="1">
      <c r="Q532" s="9"/>
    </row>
    <row r="533" ht="14.25" customHeight="1">
      <c r="Q533" s="9"/>
    </row>
    <row r="534" ht="14.25" customHeight="1">
      <c r="Q534" s="9"/>
    </row>
    <row r="535" ht="14.25" customHeight="1">
      <c r="Q535" s="9"/>
    </row>
    <row r="536" ht="14.25" customHeight="1">
      <c r="Q536" s="9"/>
    </row>
    <row r="537" ht="14.25" customHeight="1">
      <c r="Q537" s="9"/>
    </row>
    <row r="538" ht="14.25" customHeight="1">
      <c r="Q538" s="9"/>
    </row>
    <row r="539" ht="14.25" customHeight="1">
      <c r="Q539" s="9"/>
    </row>
    <row r="540" ht="14.25" customHeight="1">
      <c r="Q540" s="9"/>
    </row>
    <row r="541" ht="14.25" customHeight="1">
      <c r="Q541" s="9"/>
    </row>
    <row r="542" ht="14.25" customHeight="1">
      <c r="Q542" s="9"/>
    </row>
    <row r="543" ht="14.25" customHeight="1">
      <c r="Q543" s="9"/>
    </row>
    <row r="544" ht="14.25" customHeight="1">
      <c r="Q544" s="9"/>
    </row>
    <row r="545" ht="14.25" customHeight="1">
      <c r="Q545" s="9"/>
    </row>
    <row r="546" ht="14.25" customHeight="1">
      <c r="Q546" s="9"/>
    </row>
    <row r="547" ht="14.25" customHeight="1">
      <c r="Q547" s="9"/>
    </row>
    <row r="548" ht="14.25" customHeight="1">
      <c r="Q548" s="9"/>
    </row>
    <row r="549" ht="14.25" customHeight="1">
      <c r="Q549" s="9"/>
    </row>
    <row r="550" ht="14.25" customHeight="1">
      <c r="Q550" s="9"/>
    </row>
    <row r="551" ht="14.25" customHeight="1">
      <c r="Q551" s="9"/>
    </row>
    <row r="552" ht="14.25" customHeight="1">
      <c r="Q552" s="9"/>
    </row>
    <row r="553" ht="14.25" customHeight="1">
      <c r="Q553" s="9"/>
    </row>
    <row r="554" ht="14.25" customHeight="1">
      <c r="Q554" s="9"/>
    </row>
    <row r="555" ht="14.25" customHeight="1">
      <c r="Q555" s="9"/>
    </row>
    <row r="556" ht="14.25" customHeight="1">
      <c r="Q556" s="9"/>
    </row>
    <row r="557" ht="14.25" customHeight="1">
      <c r="Q557" s="9"/>
    </row>
    <row r="558" ht="14.25" customHeight="1">
      <c r="Q558" s="9"/>
    </row>
    <row r="559" ht="14.25" customHeight="1">
      <c r="Q559" s="9"/>
    </row>
    <row r="560" ht="14.25" customHeight="1">
      <c r="Q560" s="9"/>
    </row>
    <row r="561" ht="14.25" customHeight="1">
      <c r="Q561" s="9"/>
    </row>
    <row r="562" ht="14.25" customHeight="1">
      <c r="Q562" s="9"/>
    </row>
    <row r="563" ht="14.25" customHeight="1">
      <c r="Q563" s="9"/>
    </row>
    <row r="564" ht="14.25" customHeight="1">
      <c r="Q564" s="9"/>
    </row>
    <row r="565" ht="14.25" customHeight="1">
      <c r="Q565" s="9"/>
    </row>
    <row r="566" ht="14.25" customHeight="1">
      <c r="Q566" s="9"/>
    </row>
    <row r="567" ht="14.25" customHeight="1">
      <c r="Q567" s="9"/>
    </row>
    <row r="568" ht="14.25" customHeight="1">
      <c r="Q568" s="9"/>
    </row>
    <row r="569" ht="14.25" customHeight="1">
      <c r="Q569" s="9"/>
    </row>
    <row r="570" ht="14.25" customHeight="1">
      <c r="Q570" s="9"/>
    </row>
    <row r="571" ht="14.25" customHeight="1">
      <c r="Q571" s="9"/>
    </row>
    <row r="572" ht="14.25" customHeight="1">
      <c r="Q572" s="9"/>
    </row>
    <row r="573" ht="14.25" customHeight="1">
      <c r="Q573" s="9"/>
    </row>
    <row r="574" ht="14.25" customHeight="1">
      <c r="Q574" s="9"/>
    </row>
    <row r="575" ht="14.25" customHeight="1">
      <c r="Q575" s="9"/>
    </row>
    <row r="576" ht="14.25" customHeight="1">
      <c r="Q576" s="9"/>
    </row>
    <row r="577" ht="14.25" customHeight="1">
      <c r="Q577" s="9"/>
    </row>
    <row r="578" ht="14.25" customHeight="1">
      <c r="Q578" s="9"/>
    </row>
    <row r="579" ht="14.25" customHeight="1">
      <c r="Q579" s="9"/>
    </row>
    <row r="580" ht="14.25" customHeight="1">
      <c r="Q580" s="9"/>
    </row>
    <row r="581" ht="14.25" customHeight="1">
      <c r="Q581" s="9"/>
    </row>
    <row r="582" ht="14.25" customHeight="1">
      <c r="Q582" s="9"/>
    </row>
    <row r="583" ht="14.25" customHeight="1">
      <c r="Q583" s="9"/>
    </row>
    <row r="584" ht="14.25" customHeight="1">
      <c r="Q584" s="9"/>
    </row>
    <row r="585" ht="14.25" customHeight="1">
      <c r="Q585" s="9"/>
    </row>
    <row r="586" ht="14.25" customHeight="1">
      <c r="Q586" s="9"/>
    </row>
    <row r="587" ht="14.25" customHeight="1">
      <c r="Q587" s="9"/>
    </row>
    <row r="588" ht="14.25" customHeight="1">
      <c r="Q588" s="9"/>
    </row>
    <row r="589" ht="14.25" customHeight="1">
      <c r="Q589" s="9"/>
    </row>
    <row r="590" ht="14.25" customHeight="1">
      <c r="Q590" s="9"/>
    </row>
    <row r="591" ht="14.25" customHeight="1">
      <c r="Q591" s="9"/>
    </row>
    <row r="592" ht="14.25" customHeight="1">
      <c r="Q592" s="9"/>
    </row>
    <row r="593" ht="14.25" customHeight="1">
      <c r="Q593" s="9"/>
    </row>
    <row r="594" ht="14.25" customHeight="1">
      <c r="Q594" s="9"/>
    </row>
    <row r="595" ht="14.25" customHeight="1">
      <c r="Q595" s="9"/>
    </row>
    <row r="596" ht="14.25" customHeight="1">
      <c r="Q596" s="9"/>
    </row>
    <row r="597" ht="14.25" customHeight="1">
      <c r="Q597" s="9"/>
    </row>
    <row r="598" ht="14.25" customHeight="1">
      <c r="Q598" s="9"/>
    </row>
    <row r="599" ht="14.25" customHeight="1">
      <c r="Q599" s="9"/>
    </row>
    <row r="600" ht="14.25" customHeight="1">
      <c r="Q600" s="9"/>
    </row>
    <row r="601" ht="14.25" customHeight="1">
      <c r="Q601" s="9"/>
    </row>
    <row r="602" ht="14.25" customHeight="1">
      <c r="Q602" s="9"/>
    </row>
    <row r="603" ht="14.25" customHeight="1">
      <c r="Q603" s="9"/>
    </row>
    <row r="604" ht="14.25" customHeight="1">
      <c r="Q604" s="9"/>
    </row>
    <row r="605" ht="14.25" customHeight="1">
      <c r="Q605" s="9"/>
    </row>
    <row r="606" ht="14.25" customHeight="1">
      <c r="Q606" s="9"/>
    </row>
    <row r="607" ht="14.25" customHeight="1">
      <c r="Q607" s="9"/>
    </row>
    <row r="608" ht="14.25" customHeight="1">
      <c r="Q608" s="9"/>
    </row>
    <row r="609" ht="14.25" customHeight="1">
      <c r="Q609" s="9"/>
    </row>
    <row r="610" ht="14.25" customHeight="1">
      <c r="Q610" s="9"/>
    </row>
    <row r="611" ht="14.25" customHeight="1">
      <c r="Q611" s="9"/>
    </row>
    <row r="612" ht="14.25" customHeight="1">
      <c r="Q612" s="9"/>
    </row>
    <row r="613" ht="14.25" customHeight="1">
      <c r="Q613" s="9"/>
    </row>
    <row r="614" ht="14.25" customHeight="1">
      <c r="Q614" s="9"/>
    </row>
    <row r="615" ht="14.25" customHeight="1">
      <c r="Q615" s="9"/>
    </row>
    <row r="616" ht="14.25" customHeight="1">
      <c r="Q616" s="9"/>
    </row>
    <row r="617" ht="14.25" customHeight="1">
      <c r="Q617" s="9"/>
    </row>
    <row r="618" ht="14.25" customHeight="1">
      <c r="Q618" s="9"/>
    </row>
    <row r="619" ht="14.25" customHeight="1">
      <c r="Q619" s="9"/>
    </row>
    <row r="620" ht="14.25" customHeight="1">
      <c r="Q620" s="9"/>
    </row>
    <row r="621" ht="14.25" customHeight="1">
      <c r="Q621" s="9"/>
    </row>
    <row r="622" ht="14.25" customHeight="1">
      <c r="Q622" s="9"/>
    </row>
    <row r="623" ht="14.25" customHeight="1">
      <c r="Q623" s="9"/>
    </row>
    <row r="624" ht="14.25" customHeight="1">
      <c r="Q624" s="9"/>
    </row>
    <row r="625" ht="14.25" customHeight="1">
      <c r="Q625" s="9"/>
    </row>
    <row r="626" ht="14.25" customHeight="1">
      <c r="Q626" s="9"/>
    </row>
    <row r="627" ht="14.25" customHeight="1">
      <c r="Q627" s="9"/>
    </row>
    <row r="628" ht="14.25" customHeight="1">
      <c r="Q628" s="9"/>
    </row>
    <row r="629" ht="14.25" customHeight="1">
      <c r="Q629" s="9"/>
    </row>
    <row r="630" ht="14.25" customHeight="1">
      <c r="Q630" s="9"/>
    </row>
    <row r="631" ht="14.25" customHeight="1">
      <c r="Q631" s="9"/>
    </row>
    <row r="632" ht="14.25" customHeight="1">
      <c r="Q632" s="9"/>
    </row>
    <row r="633" ht="14.25" customHeight="1">
      <c r="Q633" s="9"/>
    </row>
    <row r="634" ht="14.25" customHeight="1">
      <c r="Q634" s="9"/>
    </row>
    <row r="635" ht="14.25" customHeight="1">
      <c r="Q635" s="9"/>
    </row>
    <row r="636" ht="14.25" customHeight="1">
      <c r="Q636" s="9"/>
    </row>
    <row r="637" ht="14.25" customHeight="1">
      <c r="Q637" s="9"/>
    </row>
    <row r="638" ht="14.25" customHeight="1">
      <c r="Q638" s="9"/>
    </row>
    <row r="639" ht="14.25" customHeight="1">
      <c r="Q639" s="9"/>
    </row>
    <row r="640" ht="14.25" customHeight="1">
      <c r="Q640" s="9"/>
    </row>
    <row r="641" ht="14.25" customHeight="1">
      <c r="Q641" s="9"/>
    </row>
    <row r="642" ht="14.25" customHeight="1">
      <c r="Q642" s="9"/>
    </row>
    <row r="643" ht="14.25" customHeight="1">
      <c r="Q643" s="9"/>
    </row>
    <row r="644" ht="14.25" customHeight="1">
      <c r="Q644" s="9"/>
    </row>
    <row r="645" ht="14.25" customHeight="1">
      <c r="Q645" s="9"/>
    </row>
    <row r="646" ht="14.25" customHeight="1">
      <c r="Q646" s="9"/>
    </row>
    <row r="647" ht="14.25" customHeight="1">
      <c r="Q647" s="9"/>
    </row>
    <row r="648" ht="14.25" customHeight="1">
      <c r="Q648" s="9"/>
    </row>
    <row r="649" ht="14.25" customHeight="1">
      <c r="Q649" s="9"/>
    </row>
    <row r="650" ht="14.25" customHeight="1">
      <c r="Q650" s="9"/>
    </row>
    <row r="651" ht="14.25" customHeight="1">
      <c r="Q651" s="9"/>
    </row>
    <row r="652" ht="14.25" customHeight="1">
      <c r="Q652" s="9"/>
    </row>
    <row r="653" ht="14.25" customHeight="1">
      <c r="Q653" s="9"/>
    </row>
    <row r="654" ht="14.25" customHeight="1">
      <c r="Q654" s="9"/>
    </row>
    <row r="655" ht="14.25" customHeight="1">
      <c r="Q655" s="9"/>
    </row>
    <row r="656" ht="14.25" customHeight="1">
      <c r="Q656" s="9"/>
    </row>
    <row r="657" ht="14.25" customHeight="1">
      <c r="Q657" s="9"/>
    </row>
    <row r="658" ht="14.25" customHeight="1">
      <c r="Q658" s="9"/>
    </row>
    <row r="659" ht="14.25" customHeight="1">
      <c r="Q659" s="9"/>
    </row>
    <row r="660" ht="14.25" customHeight="1">
      <c r="Q660" s="9"/>
    </row>
    <row r="661" ht="14.25" customHeight="1">
      <c r="Q661" s="9"/>
    </row>
    <row r="662" ht="14.25" customHeight="1">
      <c r="Q662" s="9"/>
    </row>
    <row r="663" ht="14.25" customHeight="1">
      <c r="Q663" s="9"/>
    </row>
    <row r="664" ht="14.25" customHeight="1">
      <c r="Q664" s="9"/>
    </row>
    <row r="665" ht="14.25" customHeight="1">
      <c r="Q665" s="9"/>
    </row>
    <row r="666" ht="14.25" customHeight="1">
      <c r="Q666" s="9"/>
    </row>
    <row r="667" ht="14.25" customHeight="1">
      <c r="Q667" s="9"/>
    </row>
    <row r="668" ht="14.25" customHeight="1">
      <c r="Q668" s="9"/>
    </row>
    <row r="669" ht="14.25" customHeight="1">
      <c r="Q669" s="9"/>
    </row>
    <row r="670" ht="14.25" customHeight="1">
      <c r="Q670" s="9"/>
    </row>
    <row r="671" ht="14.25" customHeight="1">
      <c r="Q671" s="9"/>
    </row>
    <row r="672" ht="14.25" customHeight="1">
      <c r="Q672" s="9"/>
    </row>
    <row r="673" ht="14.25" customHeight="1">
      <c r="Q673" s="9"/>
    </row>
    <row r="674" ht="14.25" customHeight="1">
      <c r="Q674" s="9"/>
    </row>
    <row r="675" ht="14.25" customHeight="1">
      <c r="Q675" s="9"/>
    </row>
    <row r="676" ht="14.25" customHeight="1">
      <c r="Q676" s="9"/>
    </row>
    <row r="677" ht="14.25" customHeight="1">
      <c r="Q677" s="9"/>
    </row>
    <row r="678" ht="14.25" customHeight="1">
      <c r="Q678" s="9"/>
    </row>
    <row r="679" ht="14.25" customHeight="1">
      <c r="Q679" s="9"/>
    </row>
    <row r="680" ht="14.25" customHeight="1">
      <c r="Q680" s="9"/>
    </row>
    <row r="681" ht="14.25" customHeight="1">
      <c r="Q681" s="9"/>
    </row>
    <row r="682" ht="14.25" customHeight="1">
      <c r="Q682" s="9"/>
    </row>
    <row r="683" ht="14.25" customHeight="1">
      <c r="Q683" s="9"/>
    </row>
    <row r="684" ht="14.25" customHeight="1">
      <c r="Q684" s="9"/>
    </row>
    <row r="685" ht="14.25" customHeight="1">
      <c r="Q685" s="9"/>
    </row>
    <row r="686" ht="14.25" customHeight="1">
      <c r="Q686" s="9"/>
    </row>
    <row r="687" ht="14.25" customHeight="1">
      <c r="Q687" s="9"/>
    </row>
    <row r="688" ht="14.25" customHeight="1">
      <c r="Q688" s="9"/>
    </row>
    <row r="689" ht="14.25" customHeight="1">
      <c r="Q689" s="9"/>
    </row>
    <row r="690" ht="14.25" customHeight="1">
      <c r="Q690" s="9"/>
    </row>
    <row r="691" ht="14.25" customHeight="1">
      <c r="Q691" s="9"/>
    </row>
    <row r="692" ht="14.25" customHeight="1">
      <c r="Q692" s="9"/>
    </row>
    <row r="693" ht="14.25" customHeight="1">
      <c r="Q693" s="9"/>
    </row>
    <row r="694" ht="14.25" customHeight="1">
      <c r="Q694" s="9"/>
    </row>
    <row r="695" ht="14.25" customHeight="1">
      <c r="Q695" s="9"/>
    </row>
    <row r="696" ht="14.25" customHeight="1">
      <c r="Q696" s="9"/>
    </row>
    <row r="697" ht="14.25" customHeight="1">
      <c r="Q697" s="9"/>
    </row>
    <row r="698" ht="14.25" customHeight="1">
      <c r="Q698" s="9"/>
    </row>
    <row r="699" ht="14.25" customHeight="1">
      <c r="Q699" s="9"/>
    </row>
    <row r="700" ht="14.25" customHeight="1">
      <c r="Q700" s="9"/>
    </row>
    <row r="701" ht="14.25" customHeight="1">
      <c r="Q701" s="9"/>
    </row>
    <row r="702" ht="14.25" customHeight="1">
      <c r="Q702" s="9"/>
    </row>
    <row r="703" ht="14.25" customHeight="1">
      <c r="Q703" s="9"/>
    </row>
    <row r="704" ht="14.25" customHeight="1">
      <c r="Q704" s="9"/>
    </row>
    <row r="705" ht="14.25" customHeight="1">
      <c r="Q705" s="9"/>
    </row>
    <row r="706" ht="14.25" customHeight="1">
      <c r="Q706" s="9"/>
    </row>
    <row r="707" ht="14.25" customHeight="1">
      <c r="Q707" s="9"/>
    </row>
    <row r="708" ht="14.25" customHeight="1">
      <c r="Q708" s="9"/>
    </row>
    <row r="709" ht="14.25" customHeight="1">
      <c r="Q709" s="9"/>
    </row>
    <row r="710" ht="14.25" customHeight="1">
      <c r="Q710" s="9"/>
    </row>
    <row r="711" ht="14.25" customHeight="1">
      <c r="Q711" s="9"/>
    </row>
    <row r="712" ht="14.25" customHeight="1">
      <c r="Q712" s="9"/>
    </row>
    <row r="713" ht="14.25" customHeight="1">
      <c r="Q713" s="9"/>
    </row>
    <row r="714" ht="14.25" customHeight="1">
      <c r="Q714" s="9"/>
    </row>
    <row r="715" ht="14.25" customHeight="1">
      <c r="Q715" s="9"/>
    </row>
    <row r="716" ht="14.25" customHeight="1">
      <c r="Q716" s="9"/>
    </row>
    <row r="717" ht="14.25" customHeight="1">
      <c r="Q717" s="9"/>
    </row>
    <row r="718" ht="14.25" customHeight="1">
      <c r="Q718" s="9"/>
    </row>
    <row r="719" ht="14.25" customHeight="1">
      <c r="Q719" s="9"/>
    </row>
    <row r="720" ht="14.25" customHeight="1">
      <c r="Q720" s="9"/>
    </row>
    <row r="721" ht="14.25" customHeight="1">
      <c r="Q721" s="9"/>
    </row>
    <row r="722" ht="14.25" customHeight="1">
      <c r="Q722" s="9"/>
    </row>
    <row r="723" ht="14.25" customHeight="1">
      <c r="Q723" s="9"/>
    </row>
    <row r="724" ht="14.25" customHeight="1">
      <c r="Q724" s="9"/>
    </row>
    <row r="725" ht="14.25" customHeight="1">
      <c r="Q725" s="9"/>
    </row>
    <row r="726" ht="14.25" customHeight="1">
      <c r="Q726" s="9"/>
    </row>
    <row r="727" ht="14.25" customHeight="1">
      <c r="Q727" s="9"/>
    </row>
    <row r="728" ht="14.25" customHeight="1">
      <c r="Q728" s="9"/>
    </row>
    <row r="729" ht="14.25" customHeight="1">
      <c r="Q729" s="9"/>
    </row>
    <row r="730" ht="14.25" customHeight="1">
      <c r="Q730" s="9"/>
    </row>
    <row r="731" ht="14.25" customHeight="1">
      <c r="Q731" s="9"/>
    </row>
    <row r="732" ht="14.25" customHeight="1">
      <c r="Q732" s="9"/>
    </row>
    <row r="733" ht="14.25" customHeight="1">
      <c r="Q733" s="9"/>
    </row>
    <row r="734" ht="14.25" customHeight="1">
      <c r="Q734" s="9"/>
    </row>
    <row r="735" ht="14.25" customHeight="1">
      <c r="Q735" s="9"/>
    </row>
    <row r="736" ht="14.25" customHeight="1">
      <c r="Q736" s="9"/>
    </row>
    <row r="737" ht="14.25" customHeight="1">
      <c r="Q737" s="9"/>
    </row>
    <row r="738" ht="14.25" customHeight="1">
      <c r="Q738" s="9"/>
    </row>
    <row r="739" ht="14.25" customHeight="1">
      <c r="Q739" s="9"/>
    </row>
    <row r="740" ht="14.25" customHeight="1">
      <c r="Q740" s="9"/>
    </row>
    <row r="741" ht="14.25" customHeight="1">
      <c r="Q741" s="9"/>
    </row>
    <row r="742" ht="14.25" customHeight="1">
      <c r="Q742" s="9"/>
    </row>
    <row r="743" ht="14.25" customHeight="1">
      <c r="Q743" s="9"/>
    </row>
    <row r="744" ht="14.25" customHeight="1">
      <c r="Q744" s="9"/>
    </row>
    <row r="745" ht="14.25" customHeight="1">
      <c r="Q745" s="9"/>
    </row>
    <row r="746" ht="14.25" customHeight="1">
      <c r="Q746" s="9"/>
    </row>
    <row r="747" ht="14.25" customHeight="1">
      <c r="Q747" s="9"/>
    </row>
    <row r="748" ht="14.25" customHeight="1">
      <c r="Q748" s="9"/>
    </row>
    <row r="749" ht="14.25" customHeight="1">
      <c r="Q749" s="9"/>
    </row>
    <row r="750" ht="14.25" customHeight="1">
      <c r="Q750" s="9"/>
    </row>
    <row r="751" ht="14.25" customHeight="1">
      <c r="Q751" s="9"/>
    </row>
    <row r="752" ht="14.25" customHeight="1">
      <c r="Q752" s="9"/>
    </row>
    <row r="753" ht="14.25" customHeight="1">
      <c r="Q753" s="9"/>
    </row>
    <row r="754" ht="14.25" customHeight="1">
      <c r="Q754" s="9"/>
    </row>
    <row r="755" ht="14.25" customHeight="1">
      <c r="Q755" s="9"/>
    </row>
    <row r="756" ht="14.25" customHeight="1">
      <c r="Q756" s="9"/>
    </row>
    <row r="757" ht="14.25" customHeight="1">
      <c r="Q757" s="9"/>
    </row>
    <row r="758" ht="14.25" customHeight="1">
      <c r="Q758" s="9"/>
    </row>
    <row r="759" ht="14.25" customHeight="1">
      <c r="Q759" s="9"/>
    </row>
    <row r="760" ht="14.25" customHeight="1">
      <c r="Q760" s="9"/>
    </row>
    <row r="761" ht="14.25" customHeight="1">
      <c r="Q761" s="9"/>
    </row>
    <row r="762" ht="14.25" customHeight="1">
      <c r="Q762" s="9"/>
    </row>
    <row r="763" ht="14.25" customHeight="1">
      <c r="Q763" s="9"/>
    </row>
    <row r="764" ht="14.25" customHeight="1">
      <c r="Q764" s="9"/>
    </row>
    <row r="765" ht="14.25" customHeight="1">
      <c r="Q765" s="9"/>
    </row>
    <row r="766" ht="14.25" customHeight="1">
      <c r="Q766" s="9"/>
    </row>
    <row r="767" ht="14.25" customHeight="1">
      <c r="Q767" s="9"/>
    </row>
    <row r="768" ht="14.25" customHeight="1">
      <c r="Q768" s="9"/>
    </row>
    <row r="769" ht="14.25" customHeight="1">
      <c r="Q769" s="9"/>
    </row>
    <row r="770" ht="14.25" customHeight="1">
      <c r="Q770" s="9"/>
    </row>
    <row r="771" ht="14.25" customHeight="1">
      <c r="Q771" s="9"/>
    </row>
    <row r="772" ht="14.25" customHeight="1">
      <c r="Q772" s="9"/>
    </row>
    <row r="773" ht="14.25" customHeight="1">
      <c r="Q773" s="9"/>
    </row>
    <row r="774" ht="14.25" customHeight="1">
      <c r="Q774" s="9"/>
    </row>
    <row r="775" ht="14.25" customHeight="1">
      <c r="Q775" s="9"/>
    </row>
    <row r="776" ht="14.25" customHeight="1">
      <c r="Q776" s="9"/>
    </row>
    <row r="777" ht="14.25" customHeight="1">
      <c r="Q777" s="9"/>
    </row>
    <row r="778" ht="14.25" customHeight="1">
      <c r="Q778" s="9"/>
    </row>
    <row r="779" ht="14.25" customHeight="1">
      <c r="Q779" s="9"/>
    </row>
    <row r="780" ht="14.25" customHeight="1">
      <c r="Q780" s="9"/>
    </row>
    <row r="781" ht="14.25" customHeight="1">
      <c r="Q781" s="9"/>
    </row>
    <row r="782" ht="14.25" customHeight="1">
      <c r="Q782" s="9"/>
    </row>
    <row r="783" ht="14.25" customHeight="1">
      <c r="Q783" s="9"/>
    </row>
    <row r="784" ht="14.25" customHeight="1">
      <c r="Q784" s="9"/>
    </row>
    <row r="785" ht="14.25" customHeight="1">
      <c r="Q785" s="9"/>
    </row>
    <row r="786" ht="14.25" customHeight="1">
      <c r="Q786" s="9"/>
    </row>
    <row r="787" ht="14.25" customHeight="1">
      <c r="Q787" s="9"/>
    </row>
    <row r="788" ht="14.25" customHeight="1">
      <c r="Q788" s="9"/>
    </row>
    <row r="789" ht="14.25" customHeight="1">
      <c r="Q789" s="9"/>
    </row>
    <row r="790" ht="14.25" customHeight="1">
      <c r="Q790" s="9"/>
    </row>
    <row r="791" ht="14.25" customHeight="1">
      <c r="Q791" s="9"/>
    </row>
    <row r="792" ht="14.25" customHeight="1">
      <c r="Q792" s="9"/>
    </row>
    <row r="793" ht="14.25" customHeight="1">
      <c r="Q793" s="9"/>
    </row>
    <row r="794" ht="14.25" customHeight="1">
      <c r="Q794" s="9"/>
    </row>
    <row r="795" ht="14.25" customHeight="1">
      <c r="Q795" s="9"/>
    </row>
    <row r="796" ht="14.25" customHeight="1">
      <c r="Q796" s="9"/>
    </row>
    <row r="797" ht="14.25" customHeight="1">
      <c r="Q797" s="9"/>
    </row>
    <row r="798" ht="14.25" customHeight="1">
      <c r="Q798" s="9"/>
    </row>
    <row r="799" ht="14.25" customHeight="1">
      <c r="Q799" s="9"/>
    </row>
    <row r="800" ht="14.25" customHeight="1">
      <c r="Q800" s="9"/>
    </row>
    <row r="801" ht="14.25" customHeight="1">
      <c r="Q801" s="9"/>
    </row>
    <row r="802" ht="14.25" customHeight="1">
      <c r="Q802" s="9"/>
    </row>
    <row r="803" ht="14.25" customHeight="1">
      <c r="Q803" s="9"/>
    </row>
    <row r="804" ht="14.25" customHeight="1">
      <c r="Q804" s="9"/>
    </row>
    <row r="805" ht="14.25" customHeight="1">
      <c r="Q805" s="9"/>
    </row>
    <row r="806" ht="14.25" customHeight="1">
      <c r="Q806" s="9"/>
    </row>
    <row r="807" ht="14.25" customHeight="1">
      <c r="Q807" s="9"/>
    </row>
    <row r="808" ht="14.25" customHeight="1">
      <c r="Q808" s="9"/>
    </row>
    <row r="809" ht="14.25" customHeight="1">
      <c r="Q809" s="9"/>
    </row>
    <row r="810" ht="14.25" customHeight="1">
      <c r="Q810" s="9"/>
    </row>
    <row r="811" ht="14.25" customHeight="1">
      <c r="Q811" s="9"/>
    </row>
    <row r="812" ht="14.25" customHeight="1">
      <c r="Q812" s="9"/>
    </row>
    <row r="813" ht="14.25" customHeight="1">
      <c r="Q813" s="9"/>
    </row>
    <row r="814" ht="14.25" customHeight="1">
      <c r="Q814" s="9"/>
    </row>
    <row r="815" ht="14.25" customHeight="1">
      <c r="Q815" s="9"/>
    </row>
    <row r="816" ht="14.25" customHeight="1">
      <c r="Q816" s="9"/>
    </row>
    <row r="817" ht="14.25" customHeight="1">
      <c r="Q817" s="9"/>
    </row>
    <row r="818" ht="14.25" customHeight="1">
      <c r="Q818" s="9"/>
    </row>
    <row r="819" ht="14.25" customHeight="1">
      <c r="Q819" s="9"/>
    </row>
    <row r="820" ht="14.25" customHeight="1">
      <c r="Q820" s="9"/>
    </row>
    <row r="821" ht="14.25" customHeight="1">
      <c r="Q821" s="9"/>
    </row>
    <row r="822" ht="14.25" customHeight="1">
      <c r="Q822" s="9"/>
    </row>
    <row r="823" ht="14.25" customHeight="1">
      <c r="Q823" s="9"/>
    </row>
    <row r="824" ht="14.25" customHeight="1">
      <c r="Q824" s="9"/>
    </row>
    <row r="825" ht="14.25" customHeight="1">
      <c r="Q825" s="9"/>
    </row>
    <row r="826" ht="14.25" customHeight="1">
      <c r="Q826" s="9"/>
    </row>
    <row r="827" ht="14.25" customHeight="1">
      <c r="Q827" s="9"/>
    </row>
    <row r="828" ht="14.25" customHeight="1">
      <c r="Q828" s="9"/>
    </row>
    <row r="829" ht="14.25" customHeight="1">
      <c r="Q829" s="9"/>
    </row>
    <row r="830" ht="14.25" customHeight="1">
      <c r="Q830" s="9"/>
    </row>
    <row r="831" ht="14.25" customHeight="1">
      <c r="Q831" s="9"/>
    </row>
    <row r="832" ht="14.25" customHeight="1">
      <c r="Q832" s="9"/>
    </row>
    <row r="833" ht="14.25" customHeight="1">
      <c r="Q833" s="9"/>
    </row>
    <row r="834" ht="14.25" customHeight="1">
      <c r="Q834" s="9"/>
    </row>
    <row r="835" ht="14.25" customHeight="1">
      <c r="Q835" s="9"/>
    </row>
    <row r="836" ht="14.25" customHeight="1">
      <c r="Q836" s="9"/>
    </row>
    <row r="837" ht="14.25" customHeight="1">
      <c r="Q837" s="9"/>
    </row>
    <row r="838" ht="14.25" customHeight="1">
      <c r="Q838" s="9"/>
    </row>
    <row r="839" ht="14.25" customHeight="1">
      <c r="Q839" s="9"/>
    </row>
    <row r="840" ht="14.25" customHeight="1">
      <c r="Q840" s="9"/>
    </row>
    <row r="841" ht="14.25" customHeight="1">
      <c r="Q841" s="9"/>
    </row>
    <row r="842" ht="14.25" customHeight="1">
      <c r="Q842" s="9"/>
    </row>
    <row r="843" ht="14.25" customHeight="1">
      <c r="Q843" s="9"/>
    </row>
    <row r="844" ht="14.25" customHeight="1">
      <c r="Q844" s="9"/>
    </row>
    <row r="845" ht="14.25" customHeight="1">
      <c r="Q845" s="9"/>
    </row>
    <row r="846" ht="14.25" customHeight="1">
      <c r="Q846" s="9"/>
    </row>
    <row r="847" ht="14.25" customHeight="1">
      <c r="Q847" s="9"/>
    </row>
    <row r="848" ht="14.25" customHeight="1">
      <c r="Q848" s="9"/>
    </row>
    <row r="849" ht="14.25" customHeight="1">
      <c r="Q849" s="9"/>
    </row>
    <row r="850" ht="14.25" customHeight="1">
      <c r="Q850" s="9"/>
    </row>
    <row r="851" ht="14.25" customHeight="1">
      <c r="Q851" s="9"/>
    </row>
    <row r="852" ht="14.25" customHeight="1">
      <c r="Q852" s="9"/>
    </row>
    <row r="853" ht="14.25" customHeight="1">
      <c r="Q853" s="9"/>
    </row>
    <row r="854" ht="14.25" customHeight="1">
      <c r="Q854" s="9"/>
    </row>
    <row r="855" ht="14.25" customHeight="1">
      <c r="Q855" s="9"/>
    </row>
    <row r="856" ht="14.25" customHeight="1">
      <c r="Q856" s="9"/>
    </row>
    <row r="857" ht="14.25" customHeight="1">
      <c r="Q857" s="9"/>
    </row>
    <row r="858" ht="14.25" customHeight="1">
      <c r="Q858" s="9"/>
    </row>
    <row r="859" ht="14.25" customHeight="1">
      <c r="Q859" s="9"/>
    </row>
    <row r="860" ht="14.25" customHeight="1">
      <c r="Q860" s="9"/>
    </row>
    <row r="861" ht="14.25" customHeight="1">
      <c r="Q861" s="9"/>
    </row>
    <row r="862" ht="14.25" customHeight="1">
      <c r="Q862" s="9"/>
    </row>
    <row r="863" ht="14.25" customHeight="1">
      <c r="Q863" s="9"/>
    </row>
    <row r="864" ht="14.25" customHeight="1">
      <c r="Q864" s="9"/>
    </row>
    <row r="865" ht="14.25" customHeight="1">
      <c r="Q865" s="9"/>
    </row>
    <row r="866" ht="14.25" customHeight="1">
      <c r="Q866" s="9"/>
    </row>
    <row r="867" ht="14.25" customHeight="1">
      <c r="Q867" s="9"/>
    </row>
    <row r="868" ht="14.25" customHeight="1">
      <c r="Q868" s="9"/>
    </row>
    <row r="869" ht="14.25" customHeight="1">
      <c r="Q869" s="9"/>
    </row>
    <row r="870" ht="14.25" customHeight="1">
      <c r="Q870" s="9"/>
    </row>
    <row r="871" ht="14.25" customHeight="1">
      <c r="Q871" s="9"/>
    </row>
    <row r="872" ht="14.25" customHeight="1">
      <c r="Q872" s="9"/>
    </row>
    <row r="873" ht="14.25" customHeight="1">
      <c r="Q873" s="9"/>
    </row>
    <row r="874" ht="14.25" customHeight="1">
      <c r="Q874" s="9"/>
    </row>
    <row r="875" ht="14.25" customHeight="1">
      <c r="Q875" s="9"/>
    </row>
    <row r="876" ht="14.25" customHeight="1">
      <c r="Q876" s="9"/>
    </row>
    <row r="877" ht="14.25" customHeight="1">
      <c r="Q877" s="9"/>
    </row>
    <row r="878" ht="14.25" customHeight="1">
      <c r="Q878" s="9"/>
    </row>
    <row r="879" ht="14.25" customHeight="1">
      <c r="Q879" s="9"/>
    </row>
    <row r="880" ht="14.25" customHeight="1">
      <c r="Q880" s="9"/>
    </row>
    <row r="881" ht="14.25" customHeight="1">
      <c r="Q881" s="9"/>
    </row>
    <row r="882" ht="14.25" customHeight="1">
      <c r="Q882" s="9"/>
    </row>
    <row r="883" ht="14.25" customHeight="1">
      <c r="Q883" s="9"/>
    </row>
    <row r="884" ht="14.25" customHeight="1">
      <c r="Q884" s="9"/>
    </row>
    <row r="885" ht="14.25" customHeight="1">
      <c r="Q885" s="9"/>
    </row>
    <row r="886" ht="14.25" customHeight="1">
      <c r="Q886" s="9"/>
    </row>
    <row r="887" ht="14.25" customHeight="1">
      <c r="Q887" s="9"/>
    </row>
    <row r="888" ht="14.25" customHeight="1">
      <c r="Q888" s="9"/>
    </row>
    <row r="889" ht="14.25" customHeight="1">
      <c r="Q889" s="9"/>
    </row>
    <row r="890" ht="14.25" customHeight="1">
      <c r="Q890" s="9"/>
    </row>
    <row r="891" ht="14.25" customHeight="1">
      <c r="Q891" s="9"/>
    </row>
    <row r="892" ht="14.25" customHeight="1">
      <c r="Q892" s="9"/>
    </row>
    <row r="893" ht="14.25" customHeight="1">
      <c r="Q893" s="9"/>
    </row>
    <row r="894" ht="14.25" customHeight="1">
      <c r="Q894" s="9"/>
    </row>
    <row r="895" ht="14.25" customHeight="1">
      <c r="Q895" s="9"/>
    </row>
    <row r="896" ht="14.25" customHeight="1">
      <c r="Q896" s="9"/>
    </row>
    <row r="897" ht="14.25" customHeight="1">
      <c r="Q897" s="9"/>
    </row>
    <row r="898" ht="14.25" customHeight="1">
      <c r="Q898" s="9"/>
    </row>
    <row r="899" ht="14.25" customHeight="1">
      <c r="Q899" s="9"/>
    </row>
    <row r="900" ht="14.25" customHeight="1">
      <c r="Q900" s="9"/>
    </row>
    <row r="901" ht="14.25" customHeight="1">
      <c r="Q901" s="9"/>
    </row>
    <row r="902" ht="14.25" customHeight="1">
      <c r="Q902" s="9"/>
    </row>
    <row r="903" ht="14.25" customHeight="1">
      <c r="Q903" s="9"/>
    </row>
    <row r="904" ht="14.25" customHeight="1">
      <c r="Q904" s="9"/>
    </row>
    <row r="905" ht="14.25" customHeight="1">
      <c r="Q905" s="9"/>
    </row>
    <row r="906" ht="14.25" customHeight="1">
      <c r="Q906" s="9"/>
    </row>
    <row r="907" ht="14.25" customHeight="1">
      <c r="Q907" s="9"/>
    </row>
    <row r="908" ht="14.25" customHeight="1">
      <c r="Q908" s="9"/>
    </row>
    <row r="909" ht="14.25" customHeight="1">
      <c r="Q909" s="9"/>
    </row>
    <row r="910" ht="14.25" customHeight="1">
      <c r="Q910" s="9"/>
    </row>
    <row r="911" ht="14.25" customHeight="1">
      <c r="Q911" s="9"/>
    </row>
    <row r="912" ht="14.25" customHeight="1">
      <c r="Q912" s="9"/>
    </row>
    <row r="913" ht="14.25" customHeight="1">
      <c r="Q913" s="9"/>
    </row>
    <row r="914" ht="14.25" customHeight="1">
      <c r="Q914" s="9"/>
    </row>
    <row r="915" ht="14.25" customHeight="1">
      <c r="Q915" s="9"/>
    </row>
    <row r="916" ht="14.25" customHeight="1">
      <c r="Q916" s="9"/>
    </row>
    <row r="917" ht="14.25" customHeight="1">
      <c r="Q917" s="9"/>
    </row>
    <row r="918" ht="14.25" customHeight="1">
      <c r="Q918" s="9"/>
    </row>
    <row r="919" ht="14.25" customHeight="1">
      <c r="Q919" s="9"/>
    </row>
    <row r="920" ht="14.25" customHeight="1">
      <c r="Q920" s="9"/>
    </row>
    <row r="921" ht="14.25" customHeight="1">
      <c r="Q921" s="9"/>
    </row>
    <row r="922" ht="14.25" customHeight="1">
      <c r="Q922" s="9"/>
    </row>
    <row r="923" ht="14.25" customHeight="1">
      <c r="Q923" s="9"/>
    </row>
    <row r="924" ht="14.25" customHeight="1">
      <c r="Q924" s="9"/>
    </row>
    <row r="925" ht="14.25" customHeight="1">
      <c r="Q925" s="9"/>
    </row>
    <row r="926" ht="14.25" customHeight="1">
      <c r="Q926" s="9"/>
    </row>
    <row r="927" ht="14.25" customHeight="1">
      <c r="Q927" s="9"/>
    </row>
    <row r="928" ht="14.25" customHeight="1">
      <c r="Q928" s="9"/>
    </row>
    <row r="929" ht="14.25" customHeight="1">
      <c r="Q929" s="9"/>
    </row>
    <row r="930" ht="14.25" customHeight="1">
      <c r="Q930" s="9"/>
    </row>
    <row r="931" ht="14.25" customHeight="1">
      <c r="Q931" s="9"/>
    </row>
    <row r="932" ht="14.25" customHeight="1">
      <c r="Q932" s="9"/>
    </row>
    <row r="933" ht="14.25" customHeight="1">
      <c r="Q933" s="9"/>
    </row>
    <row r="934" ht="14.25" customHeight="1">
      <c r="Q934" s="9"/>
    </row>
    <row r="935" ht="14.25" customHeight="1">
      <c r="Q935" s="9"/>
    </row>
    <row r="936" ht="14.25" customHeight="1">
      <c r="Q936" s="9"/>
    </row>
    <row r="937" ht="14.25" customHeight="1">
      <c r="Q937" s="9"/>
    </row>
    <row r="938" ht="14.25" customHeight="1">
      <c r="Q938" s="9"/>
    </row>
    <row r="939" ht="14.25" customHeight="1">
      <c r="Q939" s="9"/>
    </row>
    <row r="940" ht="14.25" customHeight="1">
      <c r="Q940" s="9"/>
    </row>
    <row r="941" ht="14.25" customHeight="1">
      <c r="Q941" s="9"/>
    </row>
    <row r="942" ht="14.25" customHeight="1">
      <c r="Q942" s="9"/>
    </row>
    <row r="943" ht="14.25" customHeight="1">
      <c r="Q943" s="9"/>
    </row>
    <row r="944" ht="14.25" customHeight="1">
      <c r="Q944" s="9"/>
    </row>
    <row r="945" ht="14.25" customHeight="1">
      <c r="Q945" s="9"/>
    </row>
    <row r="946" ht="14.25" customHeight="1">
      <c r="Q946" s="9"/>
    </row>
    <row r="947" ht="14.25" customHeight="1">
      <c r="Q947" s="9"/>
    </row>
    <row r="948" ht="14.25" customHeight="1">
      <c r="Q948" s="9"/>
    </row>
    <row r="949" ht="14.25" customHeight="1">
      <c r="Q949" s="9"/>
    </row>
    <row r="950" ht="14.25" customHeight="1">
      <c r="Q950" s="9"/>
    </row>
    <row r="951" ht="14.25" customHeight="1">
      <c r="Q951" s="9"/>
    </row>
    <row r="952" ht="14.25" customHeight="1">
      <c r="Q952" s="9"/>
    </row>
    <row r="953" ht="14.25" customHeight="1">
      <c r="Q953" s="9"/>
    </row>
    <row r="954" ht="14.25" customHeight="1">
      <c r="Q954" s="9"/>
    </row>
    <row r="955" ht="14.25" customHeight="1">
      <c r="Q955" s="9"/>
    </row>
    <row r="956" ht="14.25" customHeight="1">
      <c r="Q956" s="9"/>
    </row>
    <row r="957" ht="14.25" customHeight="1">
      <c r="Q957" s="9"/>
    </row>
    <row r="958" ht="14.25" customHeight="1">
      <c r="Q958" s="9"/>
    </row>
    <row r="959" ht="14.25" customHeight="1">
      <c r="Q959" s="9"/>
    </row>
    <row r="960" ht="14.25" customHeight="1">
      <c r="Q960" s="9"/>
    </row>
    <row r="961" ht="14.25" customHeight="1">
      <c r="Q961" s="9"/>
    </row>
    <row r="962" ht="14.25" customHeight="1">
      <c r="Q962" s="9"/>
    </row>
    <row r="963" ht="14.25" customHeight="1">
      <c r="Q963" s="9"/>
    </row>
    <row r="964" ht="14.25" customHeight="1">
      <c r="Q964" s="9"/>
    </row>
    <row r="965" ht="14.25" customHeight="1">
      <c r="Q965" s="9"/>
    </row>
    <row r="966" ht="14.25" customHeight="1">
      <c r="Q966" s="9"/>
    </row>
    <row r="967" ht="14.25" customHeight="1">
      <c r="Q967" s="9"/>
    </row>
    <row r="968" ht="14.25" customHeight="1">
      <c r="Q968" s="9"/>
    </row>
    <row r="969" ht="14.25" customHeight="1">
      <c r="Q969" s="9"/>
    </row>
    <row r="970" ht="14.25" customHeight="1">
      <c r="Q970" s="9"/>
    </row>
    <row r="971" ht="14.25" customHeight="1">
      <c r="Q971" s="9"/>
    </row>
    <row r="972" ht="14.25" customHeight="1">
      <c r="Q972" s="9"/>
    </row>
    <row r="973" ht="14.25" customHeight="1">
      <c r="Q973" s="9"/>
    </row>
    <row r="974" ht="14.25" customHeight="1">
      <c r="Q974" s="9"/>
    </row>
    <row r="975" ht="14.25" customHeight="1">
      <c r="Q975" s="9"/>
    </row>
    <row r="976" ht="14.25" customHeight="1">
      <c r="Q976" s="9"/>
    </row>
    <row r="977" ht="14.25" customHeight="1">
      <c r="Q977" s="9"/>
    </row>
    <row r="978" ht="14.25" customHeight="1">
      <c r="Q978" s="9"/>
    </row>
    <row r="979" ht="14.25" customHeight="1">
      <c r="Q979" s="9"/>
    </row>
    <row r="980" ht="14.25" customHeight="1">
      <c r="Q980" s="9"/>
    </row>
    <row r="981" ht="14.25" customHeight="1">
      <c r="Q981" s="9"/>
    </row>
    <row r="982" ht="14.25" customHeight="1">
      <c r="Q982" s="9"/>
    </row>
    <row r="983" ht="14.25" customHeight="1">
      <c r="Q983" s="9"/>
    </row>
    <row r="984" ht="14.25" customHeight="1">
      <c r="Q984" s="9"/>
    </row>
    <row r="985" ht="14.25" customHeight="1">
      <c r="Q985" s="9"/>
    </row>
    <row r="986" ht="14.25" customHeight="1">
      <c r="Q986" s="9"/>
    </row>
    <row r="987" ht="14.25" customHeight="1">
      <c r="Q987" s="9"/>
    </row>
    <row r="988" ht="14.25" customHeight="1">
      <c r="Q988" s="9"/>
    </row>
    <row r="989" ht="14.25" customHeight="1">
      <c r="Q989" s="9"/>
    </row>
    <row r="990" ht="14.25" customHeight="1">
      <c r="Q990" s="9"/>
    </row>
    <row r="991" ht="14.25" customHeight="1">
      <c r="Q991" s="9"/>
    </row>
    <row r="992" ht="14.25" customHeight="1">
      <c r="Q992" s="9"/>
    </row>
    <row r="993" ht="14.25" customHeight="1">
      <c r="Q993" s="9"/>
    </row>
    <row r="994" ht="14.25" customHeight="1">
      <c r="Q994" s="9"/>
    </row>
    <row r="995" ht="14.25" customHeight="1">
      <c r="Q995" s="9"/>
    </row>
    <row r="996" ht="14.25" customHeight="1">
      <c r="Q996" s="9"/>
    </row>
    <row r="997" ht="14.25" customHeight="1">
      <c r="Q997" s="9"/>
    </row>
    <row r="998" ht="14.25" customHeight="1">
      <c r="Q998" s="9"/>
    </row>
    <row r="999" ht="14.25" customHeight="1">
      <c r="Q999" s="9"/>
    </row>
    <row r="1000" ht="14.25" customHeight="1">
      <c r="Q1000" s="9"/>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8" width="9.0"/>
    <col customWidth="1" min="19" max="26" width="8.63"/>
  </cols>
  <sheetData>
    <row r="1" ht="15.75" customHeight="1">
      <c r="A1" s="15"/>
      <c r="B1" s="15"/>
      <c r="C1" s="15"/>
      <c r="D1" s="15"/>
      <c r="E1" s="15"/>
      <c r="F1" s="15"/>
      <c r="G1" s="15"/>
      <c r="H1" s="15"/>
      <c r="I1" s="15"/>
      <c r="J1" s="15"/>
      <c r="K1" s="15"/>
      <c r="L1" s="15"/>
      <c r="M1" s="15"/>
      <c r="N1" s="15"/>
      <c r="O1" s="15"/>
      <c r="P1" s="15"/>
      <c r="Q1" s="15"/>
      <c r="R1" s="15"/>
      <c r="S1" s="15"/>
      <c r="T1" s="15"/>
      <c r="U1" s="15"/>
      <c r="V1" s="15"/>
      <c r="W1" s="15"/>
      <c r="X1" s="15"/>
      <c r="Y1" s="15"/>
      <c r="Z1" s="15"/>
    </row>
    <row r="2" ht="15.75" customHeight="1">
      <c r="A2" s="15" t="s">
        <v>417</v>
      </c>
      <c r="B2" s="15"/>
      <c r="C2" s="15"/>
      <c r="D2" s="15"/>
      <c r="E2" s="15"/>
      <c r="F2" s="15"/>
      <c r="G2" s="15"/>
      <c r="H2" s="15"/>
      <c r="I2" s="15"/>
      <c r="J2" s="15"/>
      <c r="K2" s="15"/>
      <c r="L2" s="15"/>
      <c r="M2" s="15"/>
      <c r="N2" s="15"/>
      <c r="O2" s="15"/>
      <c r="P2" s="15"/>
      <c r="Q2" s="15"/>
      <c r="R2" s="15"/>
      <c r="S2" s="15"/>
      <c r="T2" s="15"/>
      <c r="U2" s="15"/>
      <c r="V2" s="15"/>
      <c r="W2" s="15"/>
      <c r="X2" s="15"/>
      <c r="Y2" s="15"/>
      <c r="Z2" s="15"/>
    </row>
    <row r="3" ht="15.75" customHeight="1">
      <c r="A3" s="15" t="s">
        <v>418</v>
      </c>
      <c r="B3" s="15"/>
      <c r="C3" s="15"/>
      <c r="D3" s="15"/>
      <c r="E3" s="15"/>
      <c r="F3" s="15"/>
      <c r="G3" s="15"/>
      <c r="H3" s="15"/>
      <c r="I3" s="15"/>
      <c r="J3" s="15"/>
      <c r="K3" s="15"/>
      <c r="L3" s="15"/>
      <c r="M3" s="15"/>
      <c r="N3" s="15"/>
      <c r="O3" s="15"/>
      <c r="P3" s="15"/>
      <c r="Q3" s="15"/>
      <c r="R3" s="15"/>
      <c r="S3" s="15"/>
      <c r="T3" s="15"/>
      <c r="U3" s="15"/>
      <c r="V3" s="15"/>
      <c r="W3" s="15"/>
      <c r="X3" s="15"/>
      <c r="Y3" s="15"/>
      <c r="Z3" s="15"/>
    </row>
    <row r="4" ht="15.75" customHeight="1">
      <c r="A4" s="15" t="s">
        <v>419</v>
      </c>
      <c r="B4" s="15"/>
      <c r="C4" s="15"/>
      <c r="D4" s="15"/>
      <c r="E4" s="15"/>
      <c r="F4" s="15"/>
      <c r="G4" s="15"/>
      <c r="H4" s="15"/>
      <c r="I4" s="15"/>
      <c r="J4" s="15"/>
      <c r="K4" s="15"/>
      <c r="L4" s="15"/>
      <c r="M4" s="15"/>
      <c r="N4" s="15"/>
      <c r="O4" s="15"/>
      <c r="P4" s="15"/>
      <c r="Q4" s="15"/>
      <c r="R4" s="15"/>
      <c r="S4" s="15"/>
      <c r="T4" s="15"/>
      <c r="U4" s="15"/>
      <c r="V4" s="15"/>
      <c r="W4" s="15"/>
      <c r="X4" s="15"/>
      <c r="Y4" s="15"/>
      <c r="Z4" s="15"/>
    </row>
    <row r="5" ht="15.75" customHeight="1">
      <c r="A5" s="15" t="s">
        <v>420</v>
      </c>
      <c r="B5" s="15"/>
      <c r="C5" s="15"/>
      <c r="D5" s="15"/>
      <c r="E5" s="15"/>
      <c r="F5" s="15"/>
      <c r="G5" s="15"/>
      <c r="H5" s="15"/>
      <c r="I5" s="15"/>
      <c r="J5" s="15"/>
      <c r="K5" s="15"/>
      <c r="L5" s="15"/>
      <c r="M5" s="15"/>
      <c r="N5" s="15"/>
      <c r="O5" s="15"/>
      <c r="P5" s="15"/>
      <c r="Q5" s="15"/>
      <c r="R5" s="15"/>
      <c r="S5" s="15"/>
      <c r="T5" s="15"/>
      <c r="U5" s="15"/>
      <c r="V5" s="15"/>
      <c r="W5" s="15"/>
      <c r="X5" s="15"/>
      <c r="Y5" s="15"/>
      <c r="Z5" s="15"/>
    </row>
    <row r="6" ht="15.75" customHeight="1">
      <c r="A6" s="15"/>
      <c r="B6" s="15"/>
      <c r="C6" s="15"/>
      <c r="D6" s="15"/>
      <c r="E6" s="15"/>
      <c r="F6" s="15"/>
      <c r="G6" s="15"/>
      <c r="H6" s="15"/>
      <c r="I6" s="15"/>
      <c r="J6" s="15"/>
      <c r="K6" s="15"/>
      <c r="L6" s="15"/>
      <c r="M6" s="15"/>
      <c r="N6" s="15"/>
      <c r="O6" s="15"/>
      <c r="P6" s="15"/>
      <c r="Q6" s="15"/>
      <c r="R6" s="15"/>
      <c r="S6" s="15"/>
      <c r="T6" s="15"/>
      <c r="U6" s="15"/>
      <c r="V6" s="15"/>
      <c r="W6" s="15"/>
      <c r="X6" s="15"/>
      <c r="Y6" s="15"/>
      <c r="Z6" s="15"/>
    </row>
    <row r="7" ht="15.75" customHeight="1">
      <c r="A7" s="15" t="s">
        <v>421</v>
      </c>
      <c r="B7" s="15"/>
      <c r="C7" s="15"/>
      <c r="D7" s="15"/>
      <c r="E7" s="15"/>
      <c r="F7" s="15"/>
      <c r="G7" s="15"/>
      <c r="H7" s="15"/>
      <c r="I7" s="15"/>
      <c r="J7" s="15"/>
      <c r="K7" s="15"/>
      <c r="L7" s="15"/>
      <c r="M7" s="15"/>
      <c r="N7" s="15"/>
      <c r="O7" s="15"/>
      <c r="P7" s="15"/>
      <c r="Q7" s="15"/>
      <c r="R7" s="15"/>
      <c r="S7" s="15"/>
      <c r="T7" s="15"/>
      <c r="U7" s="15"/>
      <c r="V7" s="15"/>
      <c r="W7" s="15"/>
      <c r="X7" s="15"/>
      <c r="Y7" s="15"/>
      <c r="Z7" s="15"/>
    </row>
    <row r="8" ht="15.75" customHeight="1">
      <c r="A8" s="16" t="s">
        <v>422</v>
      </c>
      <c r="B8" s="16" t="s">
        <v>2</v>
      </c>
      <c r="C8" s="16" t="s">
        <v>3</v>
      </c>
      <c r="D8" s="16" t="s">
        <v>6</v>
      </c>
      <c r="E8" s="16" t="s">
        <v>4</v>
      </c>
      <c r="F8" s="16" t="s">
        <v>5</v>
      </c>
      <c r="G8" s="16" t="s">
        <v>13</v>
      </c>
      <c r="H8" s="15"/>
      <c r="I8" s="15"/>
      <c r="J8" s="15"/>
      <c r="K8" s="15"/>
      <c r="L8" s="15"/>
      <c r="M8" s="15"/>
      <c r="N8" s="15"/>
      <c r="O8" s="15"/>
      <c r="P8" s="15"/>
      <c r="Q8" s="15"/>
      <c r="R8" s="15"/>
      <c r="S8" s="15"/>
      <c r="T8" s="15"/>
      <c r="U8" s="15"/>
      <c r="V8" s="15"/>
      <c r="W8" s="15"/>
      <c r="X8" s="15"/>
      <c r="Y8" s="15"/>
      <c r="Z8" s="15"/>
    </row>
    <row r="9" ht="15.75" customHeight="1">
      <c r="A9" s="17" t="s">
        <v>2</v>
      </c>
      <c r="B9" s="18">
        <v>1.0</v>
      </c>
      <c r="C9" s="19">
        <v>0.469</v>
      </c>
      <c r="D9" s="19">
        <v>-0.484</v>
      </c>
      <c r="E9" s="19">
        <v>-0.824</v>
      </c>
      <c r="F9" s="19">
        <v>0.896</v>
      </c>
      <c r="G9" s="19">
        <v>0.958</v>
      </c>
      <c r="H9" s="15"/>
      <c r="I9" s="15"/>
      <c r="J9" s="15"/>
      <c r="K9" s="15"/>
      <c r="L9" s="15"/>
      <c r="M9" s="15"/>
      <c r="N9" s="15"/>
      <c r="O9" s="15"/>
      <c r="P9" s="15"/>
      <c r="Q9" s="15"/>
      <c r="R9" s="15"/>
      <c r="S9" s="15"/>
      <c r="T9" s="15"/>
      <c r="U9" s="15"/>
      <c r="V9" s="15"/>
      <c r="W9" s="15"/>
      <c r="X9" s="15"/>
      <c r="Y9" s="15"/>
      <c r="Z9" s="15"/>
    </row>
    <row r="10" ht="15.75" customHeight="1">
      <c r="A10" s="17" t="s">
        <v>3</v>
      </c>
      <c r="B10" s="19">
        <v>0.469</v>
      </c>
      <c r="C10" s="18">
        <v>1.0</v>
      </c>
      <c r="D10" s="19">
        <v>-0.297</v>
      </c>
      <c r="E10" s="19">
        <v>-0.669</v>
      </c>
      <c r="F10" s="19">
        <v>0.226</v>
      </c>
      <c r="G10" s="19">
        <v>0.3</v>
      </c>
      <c r="H10" s="15"/>
      <c r="I10" s="15"/>
      <c r="J10" s="15"/>
      <c r="K10" s="15"/>
      <c r="L10" s="15"/>
      <c r="M10" s="15"/>
      <c r="N10" s="15"/>
      <c r="O10" s="15"/>
      <c r="P10" s="15"/>
      <c r="Q10" s="15"/>
      <c r="R10" s="15"/>
      <c r="S10" s="15"/>
      <c r="T10" s="15"/>
      <c r="U10" s="15"/>
      <c r="V10" s="15"/>
      <c r="W10" s="15"/>
      <c r="X10" s="15"/>
      <c r="Y10" s="15"/>
      <c r="Z10" s="15"/>
    </row>
    <row r="11" ht="15.75" customHeight="1">
      <c r="A11" s="17" t="s">
        <v>6</v>
      </c>
      <c r="B11" s="19">
        <v>-0.484</v>
      </c>
      <c r="C11" s="19">
        <v>-0.297</v>
      </c>
      <c r="D11" s="18">
        <v>1.0</v>
      </c>
      <c r="E11" s="19">
        <v>0.655</v>
      </c>
      <c r="F11" s="19">
        <v>-0.468</v>
      </c>
      <c r="G11" s="19">
        <v>-0.45</v>
      </c>
      <c r="H11" s="15"/>
      <c r="I11" s="15"/>
      <c r="J11" s="15"/>
      <c r="K11" s="15"/>
      <c r="L11" s="15"/>
      <c r="M11" s="15"/>
      <c r="N11" s="15"/>
      <c r="O11" s="15"/>
      <c r="P11" s="15"/>
      <c r="Q11" s="15"/>
      <c r="R11" s="15"/>
      <c r="S11" s="15"/>
      <c r="T11" s="15"/>
      <c r="U11" s="15"/>
      <c r="V11" s="15"/>
      <c r="W11" s="15"/>
      <c r="X11" s="15"/>
      <c r="Y11" s="15"/>
      <c r="Z11" s="15"/>
    </row>
    <row r="12" ht="15.75" customHeight="1">
      <c r="A12" s="17" t="s">
        <v>4</v>
      </c>
      <c r="B12" s="19">
        <v>-0.824</v>
      </c>
      <c r="C12" s="19">
        <v>-0.669</v>
      </c>
      <c r="D12" s="19">
        <v>0.655</v>
      </c>
      <c r="E12" s="18">
        <v>1.0</v>
      </c>
      <c r="F12" s="19">
        <v>-0.708</v>
      </c>
      <c r="G12" s="19">
        <v>-0.852</v>
      </c>
      <c r="H12" s="15"/>
      <c r="I12" s="15"/>
      <c r="J12" s="15"/>
      <c r="K12" s="15"/>
      <c r="L12" s="15"/>
      <c r="M12" s="15"/>
      <c r="N12" s="15"/>
      <c r="O12" s="15"/>
      <c r="P12" s="15"/>
      <c r="Q12" s="15"/>
      <c r="R12" s="15"/>
      <c r="S12" s="15"/>
      <c r="T12" s="15"/>
      <c r="U12" s="15"/>
      <c r="V12" s="15"/>
      <c r="W12" s="15"/>
      <c r="X12" s="15"/>
      <c r="Y12" s="15"/>
      <c r="Z12" s="15"/>
    </row>
    <row r="13" ht="15.75" customHeight="1">
      <c r="A13" s="17" t="s">
        <v>5</v>
      </c>
      <c r="B13" s="19">
        <v>0.896</v>
      </c>
      <c r="C13" s="19">
        <v>0.226</v>
      </c>
      <c r="D13" s="19">
        <v>-0.468</v>
      </c>
      <c r="E13" s="19">
        <v>-0.708</v>
      </c>
      <c r="F13" s="18">
        <v>1.0</v>
      </c>
      <c r="G13" s="19">
        <v>0.96</v>
      </c>
      <c r="H13" s="15"/>
      <c r="I13" s="15"/>
      <c r="J13" s="15"/>
      <c r="K13" s="15"/>
      <c r="L13" s="15"/>
      <c r="M13" s="15"/>
      <c r="N13" s="15"/>
      <c r="O13" s="15"/>
      <c r="P13" s="15"/>
      <c r="Q13" s="15"/>
      <c r="R13" s="15"/>
      <c r="S13" s="15"/>
      <c r="T13" s="15"/>
      <c r="U13" s="15"/>
      <c r="V13" s="15"/>
      <c r="W13" s="15"/>
      <c r="X13" s="15"/>
      <c r="Y13" s="15"/>
      <c r="Z13" s="15"/>
    </row>
    <row r="14" ht="15.75" customHeight="1">
      <c r="A14" s="17" t="s">
        <v>13</v>
      </c>
      <c r="B14" s="19">
        <v>0.958</v>
      </c>
      <c r="C14" s="19">
        <v>0.3</v>
      </c>
      <c r="D14" s="19">
        <v>-0.45</v>
      </c>
      <c r="E14" s="19">
        <v>-0.852</v>
      </c>
      <c r="F14" s="19">
        <v>0.96</v>
      </c>
      <c r="G14" s="18">
        <v>1.0</v>
      </c>
      <c r="H14" s="15"/>
      <c r="I14" s="15"/>
      <c r="J14" s="15"/>
      <c r="K14" s="15"/>
      <c r="L14" s="15"/>
      <c r="M14" s="15"/>
      <c r="N14" s="15"/>
      <c r="O14" s="15"/>
      <c r="P14" s="15"/>
      <c r="Q14" s="15"/>
      <c r="R14" s="15"/>
      <c r="S14" s="15"/>
      <c r="T14" s="15"/>
      <c r="U14" s="15"/>
      <c r="V14" s="15"/>
      <c r="W14" s="15"/>
      <c r="X14" s="15"/>
      <c r="Y14" s="15"/>
      <c r="Z14" s="15"/>
    </row>
    <row r="15" ht="15.75" customHeight="1">
      <c r="A15" s="20"/>
      <c r="B15" s="21"/>
      <c r="C15" s="21"/>
      <c r="D15" s="21"/>
      <c r="E15" s="21"/>
      <c r="F15" s="21"/>
      <c r="G15" s="15"/>
      <c r="H15" s="15"/>
      <c r="I15" s="15"/>
      <c r="J15" s="15"/>
      <c r="K15" s="15"/>
      <c r="L15" s="15"/>
      <c r="M15" s="15"/>
      <c r="N15" s="15"/>
      <c r="O15" s="15"/>
      <c r="P15" s="15"/>
      <c r="Q15" s="15"/>
      <c r="R15" s="15"/>
      <c r="S15" s="15"/>
      <c r="T15" s="15"/>
      <c r="U15" s="15"/>
      <c r="V15" s="15"/>
      <c r="W15" s="15"/>
      <c r="X15" s="15"/>
      <c r="Y15" s="15"/>
      <c r="Z15" s="15"/>
    </row>
    <row r="16" ht="15.75" customHeight="1">
      <c r="A16" s="15" t="s">
        <v>423</v>
      </c>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r="17" ht="15.75" customHeight="1">
      <c r="A17" s="15" t="s">
        <v>424</v>
      </c>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ht="15.75" customHeight="1">
      <c r="A18" s="15" t="s">
        <v>425</v>
      </c>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ht="15.75" customHeight="1">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ht="15.75" customHeight="1">
      <c r="A20" s="15" t="s">
        <v>426</v>
      </c>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ht="15.75" customHeight="1">
      <c r="A21" s="16" t="s">
        <v>422</v>
      </c>
      <c r="B21" s="16" t="s">
        <v>7</v>
      </c>
      <c r="C21" s="16" t="s">
        <v>8</v>
      </c>
      <c r="D21" s="16" t="s">
        <v>9</v>
      </c>
      <c r="E21" s="16" t="s">
        <v>10</v>
      </c>
      <c r="F21" s="16" t="s">
        <v>11</v>
      </c>
      <c r="G21" s="16" t="s">
        <v>12</v>
      </c>
      <c r="H21" s="16" t="s">
        <v>13</v>
      </c>
      <c r="I21" s="15"/>
      <c r="J21" s="15"/>
      <c r="K21" s="15"/>
      <c r="L21" s="15"/>
      <c r="M21" s="15"/>
      <c r="N21" s="15"/>
      <c r="O21" s="15"/>
      <c r="P21" s="15"/>
      <c r="Q21" s="15"/>
      <c r="R21" s="15"/>
      <c r="S21" s="15"/>
      <c r="T21" s="15"/>
      <c r="U21" s="15"/>
      <c r="V21" s="15"/>
      <c r="W21" s="15"/>
      <c r="X21" s="15"/>
      <c r="Y21" s="15"/>
      <c r="Z21" s="15"/>
    </row>
    <row r="22" ht="15.75" customHeight="1">
      <c r="A22" s="17" t="s">
        <v>7</v>
      </c>
      <c r="B22" s="22">
        <v>1.0</v>
      </c>
      <c r="C22" s="22">
        <v>0.311</v>
      </c>
      <c r="D22" s="22">
        <v>0.307</v>
      </c>
      <c r="E22" s="22">
        <v>0.302</v>
      </c>
      <c r="F22" s="22">
        <v>0.305</v>
      </c>
      <c r="G22" s="22">
        <v>-0.483</v>
      </c>
      <c r="H22" s="22">
        <v>-0.532</v>
      </c>
      <c r="I22" s="15"/>
      <c r="J22" s="15"/>
      <c r="K22" s="15"/>
      <c r="L22" s="15"/>
      <c r="M22" s="15"/>
      <c r="N22" s="15"/>
      <c r="O22" s="15"/>
      <c r="P22" s="15"/>
      <c r="Q22" s="15"/>
      <c r="R22" s="15"/>
      <c r="S22" s="15"/>
      <c r="T22" s="15"/>
      <c r="U22" s="15"/>
      <c r="V22" s="15"/>
      <c r="W22" s="15"/>
      <c r="X22" s="15"/>
      <c r="Y22" s="15"/>
      <c r="Z22" s="15"/>
    </row>
    <row r="23" ht="15.75" customHeight="1">
      <c r="A23" s="17" t="s">
        <v>8</v>
      </c>
      <c r="B23" s="22">
        <v>0.311</v>
      </c>
      <c r="C23" s="22">
        <v>1.0</v>
      </c>
      <c r="D23" s="22">
        <v>0.988</v>
      </c>
      <c r="E23" s="22">
        <v>0.973</v>
      </c>
      <c r="F23" s="22">
        <v>0.979</v>
      </c>
      <c r="G23" s="22">
        <v>-0.477</v>
      </c>
      <c r="H23" s="22">
        <v>-0.517</v>
      </c>
      <c r="I23" s="15"/>
      <c r="J23" s="15"/>
      <c r="K23" s="15"/>
      <c r="L23" s="15"/>
      <c r="M23" s="15"/>
      <c r="N23" s="15"/>
      <c r="O23" s="15"/>
      <c r="P23" s="15"/>
      <c r="Q23" s="15"/>
      <c r="R23" s="15"/>
      <c r="S23" s="15"/>
      <c r="T23" s="15"/>
      <c r="U23" s="15"/>
      <c r="V23" s="15"/>
      <c r="W23" s="15"/>
      <c r="X23" s="15"/>
      <c r="Y23" s="15"/>
      <c r="Z23" s="15"/>
    </row>
    <row r="24" ht="15.75" customHeight="1">
      <c r="A24" s="17" t="s">
        <v>9</v>
      </c>
      <c r="B24" s="22">
        <v>0.307</v>
      </c>
      <c r="C24" s="22">
        <v>0.988</v>
      </c>
      <c r="D24" s="22">
        <v>1.0</v>
      </c>
      <c r="E24" s="22">
        <v>0.996</v>
      </c>
      <c r="F24" s="22">
        <v>0.945</v>
      </c>
      <c r="G24" s="22">
        <v>-0.488</v>
      </c>
      <c r="H24" s="22">
        <v>-0.534</v>
      </c>
      <c r="I24" s="15"/>
      <c r="J24" s="15"/>
      <c r="K24" s="15"/>
      <c r="L24" s="15"/>
      <c r="M24" s="15"/>
      <c r="N24" s="15"/>
      <c r="O24" s="15"/>
      <c r="P24" s="15"/>
      <c r="Q24" s="15"/>
      <c r="R24" s="15"/>
      <c r="S24" s="15"/>
      <c r="T24" s="15"/>
      <c r="U24" s="15"/>
      <c r="V24" s="15"/>
      <c r="W24" s="15"/>
      <c r="X24" s="15"/>
      <c r="Y24" s="15"/>
      <c r="Z24" s="15"/>
    </row>
    <row r="25" ht="15.75" customHeight="1">
      <c r="A25" s="17" t="s">
        <v>10</v>
      </c>
      <c r="B25" s="22">
        <v>0.302</v>
      </c>
      <c r="C25" s="22">
        <v>0.973</v>
      </c>
      <c r="D25" s="22">
        <v>0.996</v>
      </c>
      <c r="E25" s="22">
        <v>1.0</v>
      </c>
      <c r="F25" s="22">
        <v>0.921</v>
      </c>
      <c r="G25" s="22">
        <v>-0.54</v>
      </c>
      <c r="H25" s="22">
        <v>-0.54</v>
      </c>
      <c r="I25" s="15"/>
      <c r="J25" s="15"/>
      <c r="K25" s="15"/>
      <c r="L25" s="15"/>
      <c r="M25" s="15"/>
      <c r="N25" s="15"/>
      <c r="O25" s="15"/>
      <c r="P25" s="15"/>
      <c r="Q25" s="15"/>
      <c r="R25" s="15"/>
      <c r="S25" s="15"/>
      <c r="T25" s="15"/>
      <c r="U25" s="15"/>
      <c r="V25" s="15"/>
      <c r="W25" s="15"/>
      <c r="X25" s="15"/>
      <c r="Y25" s="15"/>
      <c r="Z25" s="15"/>
    </row>
    <row r="26" ht="15.75" customHeight="1">
      <c r="A26" s="17" t="s">
        <v>11</v>
      </c>
      <c r="B26" s="22">
        <v>0.305</v>
      </c>
      <c r="C26" s="22">
        <v>0.979</v>
      </c>
      <c r="D26" s="22">
        <v>0.945</v>
      </c>
      <c r="E26" s="22">
        <v>0.921</v>
      </c>
      <c r="F26" s="22">
        <v>1.0</v>
      </c>
      <c r="G26" s="22">
        <v>-0.457</v>
      </c>
      <c r="H26" s="22">
        <v>-0.487</v>
      </c>
      <c r="I26" s="15"/>
      <c r="J26" s="15"/>
      <c r="K26" s="15"/>
      <c r="L26" s="15"/>
      <c r="M26" s="15"/>
      <c r="N26" s="15"/>
      <c r="O26" s="15"/>
      <c r="P26" s="15"/>
      <c r="Q26" s="15"/>
      <c r="R26" s="15"/>
      <c r="S26" s="15"/>
      <c r="T26" s="15"/>
      <c r="U26" s="15"/>
      <c r="V26" s="15"/>
      <c r="W26" s="15"/>
      <c r="X26" s="15"/>
      <c r="Y26" s="15"/>
      <c r="Z26" s="15"/>
    </row>
    <row r="27" ht="15.75" customHeight="1">
      <c r="A27" s="17" t="s">
        <v>12</v>
      </c>
      <c r="B27" s="22">
        <v>-0.483</v>
      </c>
      <c r="C27" s="22">
        <v>-0.477</v>
      </c>
      <c r="D27" s="22">
        <v>-0.488</v>
      </c>
      <c r="E27" s="22">
        <v>-0.54</v>
      </c>
      <c r="F27" s="22">
        <v>-0.457</v>
      </c>
      <c r="G27" s="22">
        <v>1.0</v>
      </c>
      <c r="H27" s="22">
        <v>0.989</v>
      </c>
      <c r="I27" s="15"/>
      <c r="J27" s="15"/>
      <c r="K27" s="15"/>
      <c r="L27" s="15"/>
      <c r="M27" s="15"/>
      <c r="N27" s="15"/>
      <c r="O27" s="15"/>
      <c r="P27" s="15"/>
      <c r="Q27" s="15"/>
      <c r="R27" s="15"/>
      <c r="S27" s="15"/>
      <c r="T27" s="15"/>
      <c r="U27" s="15"/>
      <c r="V27" s="15"/>
      <c r="W27" s="15"/>
      <c r="X27" s="15"/>
      <c r="Y27" s="15"/>
      <c r="Z27" s="15"/>
    </row>
    <row r="28" ht="15.75" customHeight="1">
      <c r="A28" s="17" t="s">
        <v>13</v>
      </c>
      <c r="B28" s="22">
        <v>-0.532</v>
      </c>
      <c r="C28" s="22">
        <v>-0.517</v>
      </c>
      <c r="D28" s="22">
        <v>-0.534</v>
      </c>
      <c r="E28" s="22">
        <v>-0.54</v>
      </c>
      <c r="F28" s="22">
        <v>-0.487</v>
      </c>
      <c r="G28" s="22">
        <v>0.989</v>
      </c>
      <c r="H28" s="22">
        <v>1.0</v>
      </c>
      <c r="I28" s="15"/>
      <c r="J28" s="15"/>
      <c r="K28" s="15"/>
      <c r="L28" s="15"/>
      <c r="M28" s="15"/>
      <c r="N28" s="15"/>
      <c r="O28" s="15"/>
      <c r="P28" s="15"/>
      <c r="Q28" s="15"/>
      <c r="R28" s="15"/>
      <c r="S28" s="15"/>
      <c r="T28" s="15"/>
      <c r="U28" s="15"/>
      <c r="V28" s="15"/>
      <c r="W28" s="15"/>
      <c r="X28" s="15"/>
      <c r="Y28" s="15"/>
      <c r="Z28" s="15"/>
    </row>
    <row r="29" ht="15.75" customHeight="1">
      <c r="A29" s="20"/>
      <c r="B29" s="23"/>
      <c r="C29" s="23"/>
      <c r="D29" s="23"/>
      <c r="E29" s="23"/>
      <c r="F29" s="23"/>
      <c r="G29" s="23"/>
      <c r="H29" s="15"/>
      <c r="I29" s="15"/>
      <c r="J29" s="15"/>
      <c r="K29" s="15"/>
      <c r="L29" s="15"/>
      <c r="M29" s="15"/>
      <c r="N29" s="15"/>
      <c r="O29" s="15"/>
      <c r="P29" s="15"/>
      <c r="Q29" s="15"/>
      <c r="R29" s="15"/>
      <c r="S29" s="15"/>
      <c r="T29" s="15"/>
      <c r="U29" s="15"/>
      <c r="V29" s="15"/>
      <c r="W29" s="15"/>
      <c r="X29" s="15"/>
      <c r="Y29" s="15"/>
      <c r="Z29" s="15"/>
    </row>
    <row r="30" ht="15.75" customHeight="1">
      <c r="A30" s="15" t="s">
        <v>427</v>
      </c>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ht="15.75" customHeight="1">
      <c r="A31" s="24" t="s">
        <v>428</v>
      </c>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ht="15.75" customHeight="1">
      <c r="A32" s="24" t="s">
        <v>429</v>
      </c>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ht="15.75" customHeight="1">
      <c r="A33" s="15" t="s">
        <v>430</v>
      </c>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ht="15.75"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ht="15.75" customHeight="1">
      <c r="A35" s="24" t="s">
        <v>431</v>
      </c>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ht="15.75" customHeight="1">
      <c r="C36" s="15"/>
      <c r="D36" s="15"/>
      <c r="E36" s="15"/>
      <c r="F36" s="15"/>
      <c r="G36" s="15"/>
      <c r="H36" s="15"/>
      <c r="I36" s="15"/>
      <c r="J36" s="15"/>
      <c r="K36" s="15"/>
      <c r="L36" s="15"/>
      <c r="M36" s="15"/>
      <c r="N36" s="15"/>
      <c r="O36" s="15"/>
      <c r="P36" s="15"/>
      <c r="Q36" s="15"/>
      <c r="R36" s="15"/>
      <c r="S36" s="15"/>
      <c r="T36" s="15"/>
      <c r="U36" s="15"/>
      <c r="V36" s="15"/>
      <c r="W36" s="15"/>
      <c r="X36" s="15"/>
      <c r="Y36" s="15"/>
      <c r="Z36" s="15"/>
    </row>
    <row r="37" ht="15.75" customHeight="1">
      <c r="A37" s="25"/>
      <c r="C37" s="15"/>
      <c r="D37" s="15"/>
      <c r="E37" s="15"/>
      <c r="F37" s="15"/>
      <c r="G37" s="15"/>
      <c r="H37" s="15"/>
      <c r="I37" s="15"/>
      <c r="J37" s="15"/>
      <c r="K37" s="15"/>
      <c r="L37" s="15"/>
      <c r="M37" s="15"/>
      <c r="N37" s="15"/>
      <c r="O37" s="15"/>
      <c r="P37" s="15"/>
      <c r="Q37" s="15"/>
      <c r="R37" s="15"/>
      <c r="S37" s="15"/>
      <c r="T37" s="15"/>
      <c r="U37" s="15"/>
      <c r="V37" s="15"/>
      <c r="W37" s="15"/>
      <c r="X37" s="15"/>
      <c r="Y37" s="15"/>
      <c r="Z37" s="15"/>
    </row>
    <row r="38" ht="15.75" customHeight="1">
      <c r="A38" s="25"/>
      <c r="C38" s="15"/>
      <c r="D38" s="15"/>
      <c r="E38" s="15"/>
      <c r="F38" s="15"/>
      <c r="G38" s="15"/>
      <c r="H38" s="15"/>
      <c r="I38" s="15" t="s">
        <v>432</v>
      </c>
      <c r="J38" s="15"/>
      <c r="K38" s="15"/>
      <c r="L38" s="15"/>
      <c r="M38" s="15"/>
      <c r="N38" s="15"/>
      <c r="O38" s="15"/>
      <c r="P38" s="15"/>
      <c r="Q38" s="15"/>
      <c r="R38" s="15"/>
      <c r="S38" s="15"/>
      <c r="T38" s="15"/>
      <c r="U38" s="15"/>
      <c r="V38" s="15"/>
      <c r="W38" s="15"/>
      <c r="X38" s="15"/>
      <c r="Y38" s="15"/>
      <c r="Z38" s="15"/>
    </row>
    <row r="39" ht="15.75" customHeight="1">
      <c r="A39" s="25"/>
      <c r="C39" s="15"/>
      <c r="D39" s="15"/>
      <c r="E39" s="15"/>
      <c r="F39" s="15"/>
      <c r="G39" s="15"/>
      <c r="H39" s="15"/>
      <c r="I39" s="15" t="s">
        <v>433</v>
      </c>
      <c r="J39" s="15"/>
      <c r="K39" s="15"/>
      <c r="L39" s="15"/>
      <c r="M39" s="15"/>
      <c r="N39" s="15"/>
      <c r="O39" s="15"/>
      <c r="P39" s="15"/>
      <c r="Q39" s="15"/>
      <c r="R39" s="15"/>
      <c r="S39" s="15"/>
      <c r="T39" s="15"/>
      <c r="U39" s="15"/>
      <c r="V39" s="15"/>
      <c r="W39" s="15"/>
      <c r="X39" s="15"/>
      <c r="Y39" s="15"/>
      <c r="Z39" s="15"/>
    </row>
    <row r="40" ht="15.75" customHeight="1">
      <c r="A40" s="25"/>
      <c r="C40" s="15"/>
      <c r="D40" s="15"/>
      <c r="E40" s="15"/>
      <c r="F40" s="15"/>
      <c r="G40" s="15"/>
      <c r="H40" s="15"/>
      <c r="I40" s="15"/>
      <c r="J40" s="15"/>
      <c r="L40" s="15"/>
      <c r="M40" s="15"/>
      <c r="N40" s="15"/>
      <c r="O40" s="15"/>
      <c r="P40" s="15"/>
      <c r="Q40" s="15"/>
      <c r="R40" s="15"/>
      <c r="S40" s="15"/>
      <c r="T40" s="15"/>
      <c r="U40" s="15"/>
      <c r="V40" s="15"/>
      <c r="W40" s="15"/>
      <c r="X40" s="15"/>
      <c r="Y40" s="15"/>
      <c r="Z40" s="15"/>
    </row>
    <row r="41" ht="15.75" customHeight="1">
      <c r="A41" s="25"/>
      <c r="C41" s="15"/>
      <c r="D41" s="15"/>
      <c r="E41" s="15"/>
      <c r="F41" s="15"/>
      <c r="G41" s="15"/>
      <c r="H41" s="15"/>
      <c r="I41" s="15"/>
      <c r="J41" s="15"/>
      <c r="K41" s="15"/>
      <c r="L41" s="15"/>
      <c r="M41" s="15"/>
      <c r="N41" s="15"/>
      <c r="O41" s="15"/>
      <c r="P41" s="15"/>
      <c r="Q41" s="15"/>
      <c r="R41" s="15"/>
      <c r="S41" s="15"/>
      <c r="T41" s="15"/>
      <c r="U41" s="15"/>
      <c r="V41" s="15"/>
      <c r="W41" s="15"/>
      <c r="X41" s="15"/>
      <c r="Y41" s="15"/>
      <c r="Z41" s="15"/>
    </row>
    <row r="42" ht="15.75" customHeight="1">
      <c r="A42" s="25"/>
      <c r="C42" s="15"/>
      <c r="D42" s="15"/>
      <c r="E42" s="15"/>
      <c r="F42" s="15"/>
      <c r="G42" s="15"/>
      <c r="H42" s="15"/>
      <c r="I42" s="15"/>
      <c r="J42" s="15"/>
      <c r="K42" s="15"/>
      <c r="L42" s="15"/>
      <c r="M42" s="15"/>
      <c r="N42" s="15"/>
      <c r="O42" s="15"/>
      <c r="P42" s="15"/>
      <c r="Q42" s="15"/>
      <c r="R42" s="15"/>
      <c r="S42" s="15"/>
      <c r="T42" s="15"/>
      <c r="U42" s="15"/>
      <c r="V42" s="15"/>
      <c r="W42" s="15"/>
      <c r="X42" s="15"/>
      <c r="Y42" s="15"/>
      <c r="Z42" s="15"/>
    </row>
    <row r="43" ht="15.75" customHeight="1">
      <c r="A43" s="25"/>
      <c r="C43" s="15"/>
      <c r="D43" s="15"/>
      <c r="E43" s="15"/>
      <c r="F43" s="15"/>
      <c r="G43" s="15"/>
      <c r="H43" s="15"/>
      <c r="I43" s="15"/>
      <c r="J43" s="15"/>
      <c r="K43" s="15"/>
      <c r="L43" s="15"/>
      <c r="M43" s="15"/>
      <c r="N43" s="15"/>
      <c r="O43" s="15"/>
      <c r="P43" s="15"/>
      <c r="Q43" s="15"/>
      <c r="R43" s="15"/>
      <c r="S43" s="15"/>
      <c r="T43" s="15"/>
      <c r="U43" s="15"/>
      <c r="V43" s="15"/>
      <c r="W43" s="15"/>
      <c r="X43" s="15"/>
      <c r="Y43" s="15"/>
      <c r="Z43" s="15"/>
    </row>
    <row r="44" ht="15.75" customHeight="1">
      <c r="A44" s="25"/>
      <c r="C44" s="15"/>
      <c r="D44" s="15"/>
      <c r="E44" s="15"/>
      <c r="F44" s="15"/>
      <c r="G44" s="15"/>
      <c r="H44" s="15"/>
      <c r="I44" s="15"/>
      <c r="J44" s="15"/>
      <c r="K44" s="15"/>
      <c r="L44" s="15"/>
      <c r="M44" s="15"/>
      <c r="N44" s="15"/>
      <c r="O44" s="15"/>
      <c r="P44" s="15"/>
      <c r="Q44" s="15"/>
      <c r="R44" s="15"/>
      <c r="S44" s="15"/>
      <c r="T44" s="15"/>
      <c r="U44" s="15"/>
      <c r="V44" s="15"/>
      <c r="W44" s="15"/>
      <c r="X44" s="15"/>
      <c r="Y44" s="15"/>
      <c r="Z44" s="15"/>
    </row>
    <row r="45" ht="15.75" customHeight="1">
      <c r="A45" s="25"/>
      <c r="C45" s="15"/>
      <c r="D45" s="15"/>
      <c r="E45" s="15"/>
      <c r="F45" s="15"/>
      <c r="G45" s="15"/>
      <c r="H45" s="15"/>
      <c r="I45" s="15"/>
      <c r="J45" s="15"/>
      <c r="K45" s="15"/>
      <c r="L45" s="15"/>
      <c r="M45" s="15"/>
      <c r="N45" s="15"/>
      <c r="O45" s="15"/>
      <c r="P45" s="15"/>
      <c r="Q45" s="15"/>
      <c r="R45" s="15"/>
      <c r="S45" s="15"/>
      <c r="T45" s="15"/>
      <c r="U45" s="15"/>
      <c r="V45" s="15"/>
      <c r="W45" s="15"/>
      <c r="X45" s="15"/>
      <c r="Y45" s="15"/>
      <c r="Z45" s="15"/>
    </row>
    <row r="46" ht="15.75" customHeight="1">
      <c r="A46" s="25"/>
      <c r="C46" s="15"/>
      <c r="D46" s="15"/>
      <c r="E46" s="15"/>
      <c r="F46" s="15"/>
      <c r="G46" s="15"/>
      <c r="H46" s="15"/>
      <c r="I46" s="15"/>
      <c r="J46" s="15"/>
      <c r="K46" s="15"/>
      <c r="L46" s="15"/>
      <c r="M46" s="15"/>
      <c r="N46" s="15"/>
      <c r="O46" s="15"/>
      <c r="P46" s="15"/>
      <c r="Q46" s="15"/>
      <c r="R46" s="15"/>
      <c r="S46" s="15"/>
      <c r="T46" s="15"/>
      <c r="U46" s="15"/>
      <c r="V46" s="15"/>
      <c r="W46" s="15"/>
      <c r="X46" s="15"/>
      <c r="Y46" s="15"/>
      <c r="Z46" s="15"/>
    </row>
    <row r="47" ht="15.75" customHeight="1">
      <c r="A47" s="25"/>
      <c r="C47" s="15"/>
      <c r="D47" s="15"/>
      <c r="E47" s="15"/>
      <c r="F47" s="15"/>
      <c r="G47" s="15"/>
      <c r="H47" s="15"/>
      <c r="I47" s="15"/>
      <c r="J47" s="15"/>
      <c r="K47" s="15"/>
      <c r="L47" s="15"/>
      <c r="M47" s="15"/>
      <c r="N47" s="15"/>
      <c r="O47" s="15"/>
      <c r="P47" s="15"/>
      <c r="Q47" s="15"/>
      <c r="R47" s="15"/>
      <c r="S47" s="15"/>
      <c r="T47" s="15"/>
      <c r="U47" s="15"/>
      <c r="V47" s="15"/>
      <c r="W47" s="15"/>
      <c r="X47" s="15"/>
      <c r="Y47" s="15"/>
      <c r="Z47" s="15"/>
    </row>
    <row r="48" ht="15.75" customHeight="1">
      <c r="A48" s="25"/>
      <c r="C48" s="15"/>
      <c r="D48" s="15"/>
      <c r="E48" s="15"/>
      <c r="F48" s="15"/>
      <c r="G48" s="15"/>
      <c r="H48" s="15"/>
      <c r="I48" s="15"/>
      <c r="J48" s="15"/>
      <c r="K48" s="15"/>
      <c r="L48" s="15"/>
      <c r="M48" s="15"/>
      <c r="N48" s="15"/>
      <c r="O48" s="15"/>
      <c r="P48" s="15"/>
      <c r="Q48" s="15"/>
      <c r="R48" s="15"/>
      <c r="S48" s="15"/>
      <c r="T48" s="15"/>
      <c r="U48" s="15"/>
      <c r="V48" s="15"/>
      <c r="W48" s="15"/>
      <c r="X48" s="15"/>
      <c r="Y48" s="15"/>
      <c r="Z48" s="15"/>
    </row>
    <row r="49" ht="15.75" customHeight="1">
      <c r="A49" s="25"/>
      <c r="C49" s="15"/>
      <c r="D49" s="15"/>
      <c r="E49" s="15"/>
      <c r="F49" s="15"/>
      <c r="G49" s="15"/>
      <c r="H49" s="15"/>
      <c r="I49" s="15"/>
      <c r="J49" s="15"/>
      <c r="K49" s="15"/>
      <c r="L49" s="15"/>
      <c r="M49" s="15"/>
      <c r="N49" s="15"/>
      <c r="O49" s="15"/>
      <c r="P49" s="15"/>
      <c r="Q49" s="15"/>
      <c r="R49" s="15"/>
      <c r="S49" s="15"/>
      <c r="T49" s="15"/>
      <c r="U49" s="15"/>
      <c r="V49" s="15"/>
      <c r="W49" s="15"/>
      <c r="X49" s="15"/>
      <c r="Y49" s="15"/>
      <c r="Z49" s="15"/>
    </row>
    <row r="50" ht="15.75" customHeight="1">
      <c r="A50" s="25"/>
      <c r="C50" s="15"/>
      <c r="D50" s="15"/>
      <c r="E50" s="15"/>
      <c r="F50" s="15"/>
      <c r="G50" s="15"/>
      <c r="H50" s="15"/>
      <c r="I50" s="15"/>
      <c r="J50" s="15"/>
      <c r="K50" s="15"/>
      <c r="L50" s="15"/>
      <c r="M50" s="15"/>
      <c r="N50" s="15"/>
      <c r="O50" s="15"/>
      <c r="P50" s="15"/>
      <c r="Q50" s="15"/>
      <c r="R50" s="15"/>
      <c r="S50" s="15"/>
      <c r="T50" s="15"/>
      <c r="U50" s="15"/>
      <c r="V50" s="15"/>
      <c r="W50" s="15"/>
      <c r="X50" s="15"/>
      <c r="Y50" s="15"/>
      <c r="Z50" s="15"/>
    </row>
    <row r="51" ht="15.75" customHeight="1">
      <c r="A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ht="15.75" customHeight="1">
      <c r="A52" s="25"/>
      <c r="C52" s="15"/>
      <c r="D52" s="15"/>
      <c r="E52" s="15"/>
      <c r="F52" s="15"/>
      <c r="G52" s="15"/>
      <c r="H52" s="15"/>
      <c r="I52" s="15"/>
      <c r="J52" s="15"/>
      <c r="K52" s="15"/>
      <c r="L52" s="15"/>
      <c r="M52" s="15"/>
      <c r="N52" s="15"/>
      <c r="O52" s="15"/>
      <c r="P52" s="15"/>
      <c r="Q52" s="15"/>
      <c r="R52" s="15"/>
      <c r="S52" s="15"/>
      <c r="T52" s="15"/>
      <c r="U52" s="15"/>
      <c r="V52" s="15"/>
      <c r="W52" s="15"/>
      <c r="X52" s="15"/>
      <c r="Y52" s="15"/>
      <c r="Z52" s="15"/>
    </row>
    <row r="53" ht="15.75" customHeight="1">
      <c r="A53" s="24" t="s">
        <v>434</v>
      </c>
      <c r="C53" s="15"/>
      <c r="D53" s="15"/>
      <c r="E53" s="15"/>
      <c r="F53" s="15"/>
      <c r="G53" s="15"/>
      <c r="H53" s="15"/>
      <c r="I53" s="15"/>
      <c r="J53" s="15"/>
      <c r="K53" s="15"/>
      <c r="L53" s="15"/>
      <c r="M53" s="15"/>
      <c r="N53" s="15"/>
      <c r="O53" s="15"/>
      <c r="P53" s="15"/>
      <c r="Q53" s="15"/>
      <c r="R53" s="15"/>
      <c r="S53" s="15"/>
      <c r="T53" s="15"/>
      <c r="U53" s="15"/>
      <c r="V53" s="15"/>
      <c r="W53" s="15"/>
      <c r="X53" s="15"/>
      <c r="Y53" s="15"/>
      <c r="Z53" s="15"/>
    </row>
    <row r="54" ht="15.75" customHeight="1">
      <c r="C54" s="15"/>
      <c r="D54" s="15"/>
      <c r="E54" s="15"/>
      <c r="F54" s="15"/>
      <c r="G54" s="15"/>
      <c r="H54" s="15"/>
      <c r="I54" s="15"/>
      <c r="J54" s="15"/>
      <c r="K54" s="15"/>
      <c r="L54" s="15"/>
      <c r="M54" s="15"/>
      <c r="N54" s="15"/>
      <c r="O54" s="15"/>
      <c r="P54" s="15"/>
      <c r="Q54" s="15"/>
      <c r="R54" s="15"/>
      <c r="S54" s="15"/>
      <c r="T54" s="15"/>
      <c r="U54" s="15"/>
      <c r="V54" s="15"/>
      <c r="W54" s="15"/>
      <c r="X54" s="15"/>
      <c r="Y54" s="15"/>
      <c r="Z54" s="15"/>
    </row>
    <row r="55" ht="15.75" customHeight="1">
      <c r="C55" s="15"/>
      <c r="D55" s="15"/>
      <c r="E55" s="15"/>
      <c r="F55" s="15"/>
      <c r="G55" s="15"/>
      <c r="H55" s="15"/>
      <c r="I55" s="15"/>
      <c r="J55" s="15"/>
      <c r="K55" s="15"/>
      <c r="L55" s="15"/>
      <c r="M55" s="15"/>
      <c r="N55" s="15"/>
      <c r="O55" s="15"/>
      <c r="P55" s="15"/>
      <c r="Q55" s="15"/>
      <c r="R55" s="15"/>
      <c r="S55" s="15"/>
      <c r="T55" s="15"/>
      <c r="U55" s="15"/>
      <c r="V55" s="15"/>
      <c r="W55" s="15"/>
      <c r="X55" s="15"/>
      <c r="Y55" s="15"/>
      <c r="Z55" s="15"/>
    </row>
    <row r="56" ht="15.75" customHeight="1">
      <c r="C56" s="15"/>
      <c r="D56" s="15"/>
      <c r="E56" s="15"/>
      <c r="F56" s="15"/>
      <c r="G56" s="15"/>
      <c r="H56" s="15"/>
      <c r="I56" s="24" t="s">
        <v>435</v>
      </c>
      <c r="J56" s="15"/>
      <c r="K56" s="15"/>
      <c r="L56" s="15"/>
      <c r="M56" s="15"/>
      <c r="N56" s="15"/>
      <c r="O56" s="15"/>
      <c r="P56" s="15"/>
      <c r="Q56" s="15"/>
      <c r="R56" s="15"/>
      <c r="S56" s="15"/>
      <c r="T56" s="15"/>
      <c r="U56" s="15"/>
      <c r="V56" s="15"/>
      <c r="W56" s="15"/>
      <c r="X56" s="15"/>
      <c r="Y56" s="15"/>
      <c r="Z56" s="15"/>
    </row>
    <row r="57" ht="15.75" customHeight="1">
      <c r="C57" s="15"/>
      <c r="D57" s="15"/>
      <c r="E57" s="15"/>
      <c r="F57" s="15"/>
      <c r="G57" s="15"/>
      <c r="H57" s="15"/>
      <c r="I57" s="24"/>
      <c r="J57" s="15"/>
      <c r="K57" s="15"/>
      <c r="L57" s="12"/>
      <c r="M57" s="12"/>
      <c r="N57" s="12"/>
      <c r="O57" s="12"/>
      <c r="P57" s="12"/>
      <c r="Q57" s="12"/>
      <c r="R57" s="12"/>
      <c r="S57" s="15"/>
      <c r="T57" s="15"/>
      <c r="U57" s="15"/>
      <c r="V57" s="15"/>
      <c r="W57" s="15"/>
      <c r="X57" s="15"/>
      <c r="Y57" s="15"/>
      <c r="Z57" s="15"/>
    </row>
    <row r="58" ht="15.75" customHeight="1">
      <c r="C58" s="15"/>
      <c r="D58" s="15"/>
      <c r="E58" s="15"/>
      <c r="F58" s="15"/>
      <c r="G58" s="15"/>
      <c r="H58" s="15"/>
      <c r="I58" s="24"/>
      <c r="J58" s="15"/>
      <c r="K58" s="15"/>
      <c r="L58" s="12"/>
      <c r="M58" s="12"/>
      <c r="N58" s="12"/>
      <c r="O58" s="12"/>
      <c r="P58" s="12"/>
      <c r="Q58" s="12"/>
      <c r="R58" s="12"/>
      <c r="S58" s="15"/>
      <c r="T58" s="15"/>
      <c r="U58" s="15"/>
      <c r="V58" s="15"/>
      <c r="W58" s="15"/>
      <c r="X58" s="15"/>
      <c r="Y58" s="15"/>
      <c r="Z58" s="15"/>
    </row>
    <row r="59" ht="15.75" customHeight="1">
      <c r="A59" s="25"/>
      <c r="C59" s="15"/>
      <c r="D59" s="15"/>
      <c r="E59" s="15"/>
      <c r="F59" s="15"/>
      <c r="G59" s="15"/>
      <c r="H59" s="15"/>
      <c r="I59" s="15"/>
      <c r="J59" s="15"/>
      <c r="K59" s="15"/>
      <c r="L59" s="12"/>
      <c r="M59" s="12"/>
      <c r="N59" s="12"/>
      <c r="O59" s="12"/>
      <c r="P59" s="12"/>
      <c r="Q59" s="12"/>
      <c r="R59" s="12"/>
      <c r="S59" s="15"/>
      <c r="T59" s="15"/>
      <c r="U59" s="15"/>
      <c r="V59" s="15"/>
      <c r="W59" s="15"/>
      <c r="X59" s="15"/>
      <c r="Y59" s="15"/>
      <c r="Z59" s="15"/>
    </row>
    <row r="60" ht="15.75" customHeight="1">
      <c r="A60" s="25"/>
      <c r="C60" s="15"/>
      <c r="D60" s="15"/>
      <c r="E60" s="15"/>
      <c r="F60" s="15"/>
      <c r="G60" s="15"/>
      <c r="H60" s="15"/>
      <c r="I60" s="15"/>
      <c r="J60" s="15"/>
      <c r="K60" s="15"/>
      <c r="L60" s="15"/>
      <c r="M60" s="15"/>
      <c r="N60" s="15"/>
      <c r="O60" s="15"/>
      <c r="P60" s="15"/>
      <c r="Q60" s="15"/>
      <c r="R60" s="15"/>
      <c r="S60" s="15"/>
      <c r="T60" s="15"/>
      <c r="U60" s="15"/>
      <c r="V60" s="15"/>
      <c r="W60" s="15"/>
      <c r="X60" s="15"/>
      <c r="Y60" s="15"/>
      <c r="Z60" s="15"/>
    </row>
    <row r="61" ht="15.75" customHeight="1">
      <c r="A61" s="25"/>
      <c r="C61" s="15"/>
      <c r="D61" s="15"/>
      <c r="E61" s="15"/>
      <c r="F61" s="15"/>
      <c r="G61" s="15"/>
      <c r="H61" s="15"/>
      <c r="I61" s="15"/>
      <c r="J61" s="15"/>
      <c r="K61" s="15"/>
      <c r="L61" s="15"/>
      <c r="M61" s="15"/>
      <c r="N61" s="15"/>
      <c r="O61" s="15"/>
      <c r="P61" s="15"/>
      <c r="Q61" s="15"/>
      <c r="R61" s="15"/>
      <c r="S61" s="15"/>
      <c r="T61" s="15"/>
      <c r="U61" s="15"/>
      <c r="V61" s="15"/>
      <c r="W61" s="15"/>
      <c r="X61" s="15"/>
      <c r="Y61" s="15"/>
      <c r="Z61" s="15"/>
    </row>
    <row r="62" ht="15.75" customHeight="1">
      <c r="A62" s="25"/>
      <c r="C62" s="15"/>
      <c r="D62" s="15"/>
      <c r="E62" s="15"/>
      <c r="F62" s="15"/>
      <c r="G62" s="15"/>
      <c r="H62" s="15"/>
      <c r="I62" s="15"/>
      <c r="J62" s="15"/>
      <c r="K62" s="15"/>
      <c r="L62" s="15"/>
      <c r="M62" s="15"/>
      <c r="N62" s="15"/>
      <c r="O62" s="15"/>
      <c r="P62" s="15"/>
      <c r="Q62" s="15"/>
      <c r="R62" s="15"/>
      <c r="S62" s="15"/>
      <c r="T62" s="15"/>
      <c r="U62" s="15"/>
      <c r="V62" s="15"/>
      <c r="W62" s="15"/>
      <c r="X62" s="15"/>
      <c r="Y62" s="15"/>
      <c r="Z62" s="15"/>
    </row>
    <row r="63"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ht="15.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ht="15.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ht="15.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ht="15.7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conditionalFormatting sqref="B15:F15">
    <cfRule type="colorScale" priority="1">
      <colorScale>
        <cfvo type="min"/>
        <cfvo type="percentile" val="50"/>
        <cfvo type="max"/>
        <color rgb="FF63BE7B"/>
        <color rgb="FFFFEB84"/>
        <color rgb="FFF8696B"/>
      </colorScale>
    </cfRule>
  </conditionalFormatting>
  <conditionalFormatting sqref="B9:G14">
    <cfRule type="colorScale" priority="2">
      <colorScale>
        <cfvo type="min"/>
        <cfvo type="percentile" val="50"/>
        <cfvo type="max"/>
        <color rgb="FF63BE7B"/>
        <color rgb="FFFFEB84"/>
        <color rgb="FFF8696B"/>
      </colorScale>
    </cfRule>
  </conditionalFormatting>
  <conditionalFormatting sqref="B22:H28">
    <cfRule type="colorScale" priority="3">
      <colorScale>
        <cfvo type="min"/>
        <cfvo type="percentile" val="50"/>
        <cfvo type="max"/>
        <color rgb="FF63BE7B"/>
        <color rgb="FFFFEB84"/>
        <color rgb="FFF8696B"/>
      </colorScale>
    </cfRule>
  </conditionalFormatting>
  <conditionalFormatting sqref="B29:G29">
    <cfRule type="colorScale" priority="4">
      <colorScale>
        <cfvo type="min"/>
        <cfvo type="percentile" val="50"/>
        <cfvo type="max"/>
        <color rgb="FF63BE7B"/>
        <color rgb="FFFFEB84"/>
        <color rgb="FFF8696B"/>
      </colorScale>
    </cfRule>
  </conditionalFormatting>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8.63"/>
    <col customWidth="1" min="2" max="2" width="10.88"/>
    <col customWidth="1" min="3" max="3" width="8.88"/>
    <col customWidth="1" min="4" max="4" width="15.13"/>
    <col customWidth="1" min="5" max="26" width="8.63"/>
  </cols>
  <sheetData>
    <row r="1" ht="14.25" customHeight="1">
      <c r="A1" s="26" t="s">
        <v>0</v>
      </c>
      <c r="B1" s="26" t="s">
        <v>436</v>
      </c>
      <c r="C1" s="26" t="s">
        <v>437</v>
      </c>
      <c r="D1" s="26" t="s">
        <v>438</v>
      </c>
    </row>
    <row r="2" ht="14.25" customHeight="1">
      <c r="A2" s="27" t="s">
        <v>301</v>
      </c>
      <c r="B2" s="28">
        <v>109.601632</v>
      </c>
      <c r="C2" s="28">
        <v>110.421</v>
      </c>
      <c r="D2" s="29">
        <f t="shared" ref="D2:D13" si="1">(C2-B2)/B2</f>
        <v>0.007475874082</v>
      </c>
    </row>
    <row r="3" ht="14.25" customHeight="1">
      <c r="A3" s="27" t="s">
        <v>302</v>
      </c>
      <c r="B3" s="28">
        <v>109.601632</v>
      </c>
      <c r="C3" s="28">
        <v>110.9166</v>
      </c>
      <c r="D3" s="29">
        <f t="shared" si="1"/>
        <v>0.01199770456</v>
      </c>
    </row>
    <row r="4" ht="14.25" customHeight="1">
      <c r="A4" s="27" t="s">
        <v>303</v>
      </c>
      <c r="B4" s="28">
        <v>109.601632</v>
      </c>
      <c r="C4" s="28">
        <v>110.6661</v>
      </c>
      <c r="D4" s="29">
        <f t="shared" si="1"/>
        <v>0.009712154651</v>
      </c>
    </row>
    <row r="5" ht="14.25" customHeight="1">
      <c r="A5" s="27" t="s">
        <v>304</v>
      </c>
      <c r="B5" s="28">
        <v>109.601632</v>
      </c>
      <c r="C5" s="28">
        <v>110.287</v>
      </c>
      <c r="D5" s="29">
        <f t="shared" si="1"/>
        <v>0.00625326455</v>
      </c>
    </row>
    <row r="6" ht="14.25" customHeight="1">
      <c r="A6" s="27" t="s">
        <v>305</v>
      </c>
      <c r="B6" s="28">
        <v>109.601632</v>
      </c>
      <c r="C6" s="28">
        <v>110.2953</v>
      </c>
      <c r="D6" s="29">
        <f t="shared" si="1"/>
        <v>0.006328993349</v>
      </c>
      <c r="O6" s="30" t="s">
        <v>439</v>
      </c>
    </row>
    <row r="7" ht="14.25" customHeight="1">
      <c r="A7" s="27" t="s">
        <v>306</v>
      </c>
      <c r="B7" s="28">
        <v>109.601632</v>
      </c>
      <c r="C7" s="28">
        <v>110.5902</v>
      </c>
      <c r="D7" s="29">
        <f t="shared" si="1"/>
        <v>0.009019646715</v>
      </c>
    </row>
    <row r="8" ht="14.25" customHeight="1">
      <c r="A8" s="27" t="s">
        <v>307</v>
      </c>
      <c r="B8" s="28">
        <v>109.601632</v>
      </c>
      <c r="C8" s="28">
        <v>111.0932</v>
      </c>
      <c r="D8" s="29">
        <f t="shared" si="1"/>
        <v>0.01360899444</v>
      </c>
      <c r="O8" s="30" t="s">
        <v>440</v>
      </c>
    </row>
    <row r="9" ht="14.25" customHeight="1">
      <c r="A9" s="27" t="s">
        <v>308</v>
      </c>
      <c r="B9" s="28">
        <v>109.601632</v>
      </c>
      <c r="C9" s="28">
        <v>112.072</v>
      </c>
      <c r="D9" s="29">
        <f t="shared" si="1"/>
        <v>0.02253951839</v>
      </c>
      <c r="O9" s="30" t="s">
        <v>441</v>
      </c>
    </row>
    <row r="10" ht="14.25" customHeight="1">
      <c r="A10" s="27" t="s">
        <v>309</v>
      </c>
      <c r="B10" s="28">
        <v>109.601632</v>
      </c>
      <c r="C10" s="28">
        <v>113.2823</v>
      </c>
      <c r="D10" s="29">
        <f t="shared" si="1"/>
        <v>0.03358223717</v>
      </c>
      <c r="O10" s="30" t="s">
        <v>442</v>
      </c>
    </row>
    <row r="11" ht="14.25" customHeight="1">
      <c r="A11" s="27" t="s">
        <v>310</v>
      </c>
      <c r="B11" s="28">
        <v>109.601632</v>
      </c>
      <c r="C11" s="28">
        <v>113.3754</v>
      </c>
      <c r="D11" s="29">
        <f t="shared" si="1"/>
        <v>0.03443167708</v>
      </c>
      <c r="O11" s="30" t="s">
        <v>443</v>
      </c>
    </row>
    <row r="12" ht="14.25" customHeight="1">
      <c r="A12" s="27" t="s">
        <v>311</v>
      </c>
      <c r="B12" s="28">
        <v>109.601632</v>
      </c>
      <c r="C12" s="28">
        <v>113.6572</v>
      </c>
      <c r="D12" s="29">
        <f t="shared" si="1"/>
        <v>0.03700280667</v>
      </c>
      <c r="O12" s="30" t="s">
        <v>444</v>
      </c>
    </row>
    <row r="13" ht="14.25" customHeight="1">
      <c r="A13" s="27" t="s">
        <v>312</v>
      </c>
      <c r="B13" s="28">
        <v>109.601632</v>
      </c>
      <c r="C13" s="28">
        <v>113.7888</v>
      </c>
      <c r="D13" s="29">
        <f t="shared" si="1"/>
        <v>0.03820351872</v>
      </c>
    </row>
    <row r="14" ht="14.25" customHeight="1">
      <c r="A14" s="30"/>
    </row>
    <row r="15" ht="14.25" customHeight="1"/>
    <row r="16" ht="14.25" customHeight="1"/>
    <row r="17" ht="14.25" customHeight="1"/>
    <row r="18" ht="14.25" customHeight="1"/>
    <row r="19" ht="14.25" customHeight="1"/>
    <row r="20" ht="14.25" customHeight="1">
      <c r="A20" s="26" t="s">
        <v>0</v>
      </c>
      <c r="B20" s="26" t="s">
        <v>445</v>
      </c>
      <c r="C20" s="26" t="s">
        <v>437</v>
      </c>
      <c r="D20" s="26" t="s">
        <v>438</v>
      </c>
    </row>
    <row r="21" ht="14.25" customHeight="1">
      <c r="A21" s="27" t="s">
        <v>301</v>
      </c>
      <c r="B21" s="31">
        <v>109.84047</v>
      </c>
      <c r="C21" s="28">
        <v>110.421</v>
      </c>
      <c r="D21" s="29">
        <f t="shared" ref="D21:D32" si="2">(C21-B21)/B21</f>
        <v>0.005285210451</v>
      </c>
      <c r="O21" s="30" t="s">
        <v>446</v>
      </c>
    </row>
    <row r="22" ht="14.25" customHeight="1">
      <c r="A22" s="27" t="s">
        <v>302</v>
      </c>
      <c r="B22" s="31">
        <v>110.035519</v>
      </c>
      <c r="C22" s="28">
        <v>110.9166</v>
      </c>
      <c r="D22" s="29">
        <f t="shared" si="2"/>
        <v>0.008007241734</v>
      </c>
      <c r="O22" s="30" t="s">
        <v>447</v>
      </c>
    </row>
    <row r="23" ht="14.25" customHeight="1">
      <c r="A23" s="27" t="s">
        <v>303</v>
      </c>
      <c r="B23" s="31">
        <v>110.258278</v>
      </c>
      <c r="C23" s="28">
        <v>110.6661</v>
      </c>
      <c r="D23" s="29">
        <f t="shared" si="2"/>
        <v>0.00369878804</v>
      </c>
      <c r="O23" s="30" t="s">
        <v>448</v>
      </c>
    </row>
    <row r="24" ht="14.25" customHeight="1">
      <c r="A24" s="27" t="s">
        <v>304</v>
      </c>
      <c r="B24" s="31">
        <v>110.477404</v>
      </c>
      <c r="C24" s="28">
        <v>110.287</v>
      </c>
      <c r="D24" s="29">
        <f t="shared" si="2"/>
        <v>-0.001723465551</v>
      </c>
      <c r="O24" s="30" t="s">
        <v>449</v>
      </c>
    </row>
    <row r="25" ht="14.25" customHeight="1">
      <c r="A25" s="27" t="s">
        <v>305</v>
      </c>
      <c r="B25" s="31">
        <v>110.700914</v>
      </c>
      <c r="C25" s="28">
        <v>110.2953</v>
      </c>
      <c r="D25" s="29">
        <f t="shared" si="2"/>
        <v>-0.003664052855</v>
      </c>
      <c r="O25" s="30" t="s">
        <v>450</v>
      </c>
    </row>
    <row r="26" ht="14.25" customHeight="1">
      <c r="A26" s="27" t="s">
        <v>306</v>
      </c>
      <c r="B26" s="31">
        <v>110.934912</v>
      </c>
      <c r="C26" s="28">
        <v>110.5902</v>
      </c>
      <c r="D26" s="29">
        <f t="shared" si="2"/>
        <v>-0.003107335588</v>
      </c>
    </row>
    <row r="27" ht="14.25" customHeight="1">
      <c r="A27" s="27" t="s">
        <v>307</v>
      </c>
      <c r="B27" s="31">
        <v>111.181106</v>
      </c>
      <c r="C27" s="28">
        <v>111.0932</v>
      </c>
      <c r="D27" s="29">
        <f t="shared" si="2"/>
        <v>-0.0007906559231</v>
      </c>
    </row>
    <row r="28" ht="14.25" customHeight="1">
      <c r="A28" s="27" t="s">
        <v>308</v>
      </c>
      <c r="B28" s="31">
        <v>111.438846</v>
      </c>
      <c r="C28" s="28">
        <v>112.072</v>
      </c>
      <c r="D28" s="29">
        <f t="shared" si="2"/>
        <v>0.005681627392</v>
      </c>
    </row>
    <row r="29" ht="14.25" customHeight="1">
      <c r="A29" s="27" t="s">
        <v>309</v>
      </c>
      <c r="B29" s="31">
        <v>111.706485</v>
      </c>
      <c r="C29" s="28">
        <v>113.2823</v>
      </c>
      <c r="D29" s="29">
        <f t="shared" si="2"/>
        <v>0.01410674591</v>
      </c>
    </row>
    <row r="30" ht="14.25" customHeight="1">
      <c r="A30" s="27" t="s">
        <v>310</v>
      </c>
      <c r="B30" s="31">
        <v>111.982175</v>
      </c>
      <c r="C30" s="28">
        <v>113.3754</v>
      </c>
      <c r="D30" s="29">
        <f t="shared" si="2"/>
        <v>0.01244148901</v>
      </c>
    </row>
    <row r="31" ht="14.25" customHeight="1">
      <c r="A31" s="27" t="s">
        <v>311</v>
      </c>
      <c r="B31" s="31">
        <v>112.264299</v>
      </c>
      <c r="C31" s="28">
        <v>113.6572</v>
      </c>
      <c r="D31" s="29">
        <f t="shared" si="2"/>
        <v>0.01240733708</v>
      </c>
    </row>
    <row r="32" ht="14.25" customHeight="1">
      <c r="A32" s="27" t="s">
        <v>312</v>
      </c>
      <c r="B32" s="31">
        <v>112.551586</v>
      </c>
      <c r="C32" s="28">
        <v>113.7888</v>
      </c>
      <c r="D32" s="29">
        <f t="shared" si="2"/>
        <v>0.01099241729</v>
      </c>
    </row>
    <row r="33" ht="14.25" customHeight="1">
      <c r="A33" s="30"/>
    </row>
    <row r="34" ht="14.25" customHeight="1"/>
    <row r="35" ht="14.25" customHeight="1"/>
    <row r="36" ht="14.25" customHeight="1"/>
    <row r="37" ht="14.25" customHeight="1">
      <c r="A37" s="32"/>
      <c r="B37" s="32"/>
    </row>
    <row r="38" ht="14.25" customHeight="1">
      <c r="A38" s="33"/>
      <c r="B38" s="34"/>
      <c r="P38" s="30" t="s">
        <v>451</v>
      </c>
    </row>
    <row r="39" ht="14.25" customHeight="1">
      <c r="A39" s="33"/>
      <c r="B39" s="34"/>
      <c r="P39" s="30" t="s">
        <v>452</v>
      </c>
    </row>
    <row r="40" ht="14.25" customHeight="1">
      <c r="A40" s="26" t="s">
        <v>0</v>
      </c>
      <c r="B40" s="26" t="s">
        <v>453</v>
      </c>
      <c r="C40" s="26" t="s">
        <v>437</v>
      </c>
      <c r="D40" s="26" t="s">
        <v>438</v>
      </c>
      <c r="P40" s="30" t="s">
        <v>454</v>
      </c>
    </row>
    <row r="41" ht="14.25" customHeight="1">
      <c r="A41" s="27" t="s">
        <v>301</v>
      </c>
      <c r="B41" s="31">
        <v>109.895947</v>
      </c>
      <c r="C41" s="28">
        <v>110.421</v>
      </c>
      <c r="D41" s="29">
        <f t="shared" ref="D41:D52" si="3">(C41-B41)/B41</f>
        <v>0.004777728518</v>
      </c>
      <c r="P41" s="30" t="s">
        <v>455</v>
      </c>
    </row>
    <row r="42" ht="14.25" customHeight="1">
      <c r="A42" s="27" t="s">
        <v>302</v>
      </c>
      <c r="B42" s="31">
        <v>110.114824</v>
      </c>
      <c r="C42" s="28">
        <v>110.9166</v>
      </c>
      <c r="D42" s="29">
        <f t="shared" si="3"/>
        <v>0.007281272138</v>
      </c>
      <c r="P42" s="30" t="s">
        <v>456</v>
      </c>
    </row>
    <row r="43" ht="14.25" customHeight="1">
      <c r="A43" s="27" t="s">
        <v>303</v>
      </c>
      <c r="B43" s="31">
        <v>110.33082</v>
      </c>
      <c r="C43" s="28">
        <v>110.6661</v>
      </c>
      <c r="D43" s="29">
        <f t="shared" si="3"/>
        <v>0.003038860764</v>
      </c>
      <c r="P43" s="30" t="s">
        <v>457</v>
      </c>
    </row>
    <row r="44" ht="14.25" customHeight="1">
      <c r="A44" s="27" t="s">
        <v>304</v>
      </c>
      <c r="B44" s="31">
        <v>110.543972</v>
      </c>
      <c r="C44" s="28">
        <v>110.287</v>
      </c>
      <c r="D44" s="29">
        <f t="shared" si="3"/>
        <v>-0.002324613413</v>
      </c>
      <c r="P44" s="30"/>
    </row>
    <row r="45" ht="14.25" customHeight="1">
      <c r="A45" s="27" t="s">
        <v>305</v>
      </c>
      <c r="B45" s="31">
        <v>110.75432</v>
      </c>
      <c r="C45" s="28">
        <v>110.2953</v>
      </c>
      <c r="D45" s="29">
        <f t="shared" si="3"/>
        <v>-0.00414448845</v>
      </c>
      <c r="P45" s="30" t="s">
        <v>458</v>
      </c>
    </row>
    <row r="46" ht="14.25" customHeight="1">
      <c r="A46" s="27" t="s">
        <v>306</v>
      </c>
      <c r="B46" s="31">
        <v>110.961899</v>
      </c>
      <c r="C46" s="28">
        <v>110.5902</v>
      </c>
      <c r="D46" s="29">
        <f t="shared" si="3"/>
        <v>-0.003349789462</v>
      </c>
      <c r="P46" s="30" t="s">
        <v>459</v>
      </c>
    </row>
    <row r="47" ht="14.25" customHeight="1">
      <c r="A47" s="27" t="s">
        <v>307</v>
      </c>
      <c r="B47" s="31">
        <v>111.166746</v>
      </c>
      <c r="C47" s="28">
        <v>111.0932</v>
      </c>
      <c r="D47" s="29">
        <f t="shared" si="3"/>
        <v>-0.0006615827363</v>
      </c>
      <c r="P47" s="30" t="s">
        <v>460</v>
      </c>
    </row>
    <row r="48" ht="14.25" customHeight="1">
      <c r="A48" s="27" t="s">
        <v>308</v>
      </c>
      <c r="B48" s="31">
        <v>111.368897</v>
      </c>
      <c r="C48" s="28">
        <v>112.072</v>
      </c>
      <c r="D48" s="29">
        <f t="shared" si="3"/>
        <v>0.00631327973</v>
      </c>
      <c r="P48" s="30" t="s">
        <v>461</v>
      </c>
    </row>
    <row r="49" ht="14.25" customHeight="1">
      <c r="A49" s="27" t="s">
        <v>309</v>
      </c>
      <c r="B49" s="31">
        <v>111.568387</v>
      </c>
      <c r="C49" s="28">
        <v>113.2823</v>
      </c>
      <c r="D49" s="29">
        <f t="shared" si="3"/>
        <v>0.01536199497</v>
      </c>
    </row>
    <row r="50" ht="14.25" customHeight="1">
      <c r="A50" s="27" t="s">
        <v>310</v>
      </c>
      <c r="B50" s="31">
        <v>111.765252</v>
      </c>
      <c r="C50" s="28">
        <v>113.3754</v>
      </c>
      <c r="D50" s="29">
        <f t="shared" si="3"/>
        <v>0.01440651697</v>
      </c>
    </row>
    <row r="51" ht="14.25" customHeight="1">
      <c r="A51" s="27" t="s">
        <v>311</v>
      </c>
      <c r="B51" s="31">
        <v>111.959525</v>
      </c>
      <c r="C51" s="28">
        <v>113.6572</v>
      </c>
      <c r="D51" s="29">
        <f t="shared" si="3"/>
        <v>0.01516329227</v>
      </c>
    </row>
    <row r="52" ht="14.25" customHeight="1">
      <c r="A52" s="27" t="s">
        <v>312</v>
      </c>
      <c r="B52" s="31">
        <v>112.151242</v>
      </c>
      <c r="C52" s="28">
        <v>113.7888</v>
      </c>
      <c r="D52" s="29">
        <f t="shared" si="3"/>
        <v>0.01460133629</v>
      </c>
    </row>
    <row r="53" ht="14.25" customHeight="1"/>
    <row r="54" ht="14.25" customHeight="1"/>
    <row r="55" ht="14.25" customHeight="1">
      <c r="B55" s="32"/>
      <c r="C55" s="32"/>
    </row>
    <row r="56" ht="14.25" customHeight="1">
      <c r="B56" s="34"/>
      <c r="C56" s="34"/>
    </row>
    <row r="57" ht="14.25" customHeight="1">
      <c r="B57" s="34"/>
      <c r="C57" s="34"/>
    </row>
    <row r="58" ht="14.25" customHeight="1">
      <c r="A58" s="33"/>
      <c r="B58" s="34"/>
    </row>
    <row r="59" ht="14.25" customHeight="1">
      <c r="A59" s="33"/>
      <c r="B59" s="34"/>
    </row>
    <row r="60" ht="14.25" customHeight="1">
      <c r="A60" s="26" t="s">
        <v>0</v>
      </c>
      <c r="B60" s="26" t="s">
        <v>462</v>
      </c>
      <c r="C60" s="26" t="s">
        <v>437</v>
      </c>
      <c r="D60" s="26" t="s">
        <v>438</v>
      </c>
      <c r="Q60" s="30" t="s">
        <v>440</v>
      </c>
    </row>
    <row r="61" ht="14.25" customHeight="1">
      <c r="A61" s="27" t="s">
        <v>301</v>
      </c>
      <c r="B61" s="31">
        <v>109.789375</v>
      </c>
      <c r="C61" s="28">
        <v>110.421</v>
      </c>
      <c r="D61" s="29">
        <f t="shared" ref="D61:D72" si="4">(C61-B61)/B61</f>
        <v>0.005753061259</v>
      </c>
      <c r="Q61" s="30" t="s">
        <v>463</v>
      </c>
    </row>
    <row r="62" ht="14.25" customHeight="1">
      <c r="A62" s="27" t="s">
        <v>302</v>
      </c>
      <c r="B62" s="31">
        <v>109.789375</v>
      </c>
      <c r="C62" s="28">
        <v>110.9166</v>
      </c>
      <c r="D62" s="29">
        <f t="shared" si="4"/>
        <v>0.01026715928</v>
      </c>
      <c r="Q62" s="30" t="s">
        <v>464</v>
      </c>
    </row>
    <row r="63" ht="14.25" customHeight="1">
      <c r="A63" s="27" t="s">
        <v>303</v>
      </c>
      <c r="B63" s="31">
        <v>109.789375</v>
      </c>
      <c r="C63" s="28">
        <v>110.6661</v>
      </c>
      <c r="D63" s="29">
        <f t="shared" si="4"/>
        <v>0.007985517724</v>
      </c>
      <c r="Q63" s="30" t="s">
        <v>465</v>
      </c>
    </row>
    <row r="64" ht="14.25" customHeight="1">
      <c r="A64" s="27" t="s">
        <v>304</v>
      </c>
      <c r="B64" s="31">
        <v>109.789375</v>
      </c>
      <c r="C64" s="28">
        <v>110.287</v>
      </c>
      <c r="D64" s="29">
        <f t="shared" si="4"/>
        <v>0.004532542425</v>
      </c>
      <c r="Q64" s="30" t="s">
        <v>444</v>
      </c>
    </row>
    <row r="65" ht="14.25" customHeight="1">
      <c r="A65" s="27" t="s">
        <v>305</v>
      </c>
      <c r="B65" s="31">
        <v>109.789375</v>
      </c>
      <c r="C65" s="28">
        <v>110.2953</v>
      </c>
      <c r="D65" s="29">
        <f t="shared" si="4"/>
        <v>0.004608141726</v>
      </c>
    </row>
    <row r="66" ht="14.25" customHeight="1">
      <c r="A66" s="27" t="s">
        <v>306</v>
      </c>
      <c r="B66" s="31">
        <v>109.789375</v>
      </c>
      <c r="C66" s="28">
        <v>110.5902</v>
      </c>
      <c r="D66" s="29">
        <f t="shared" si="4"/>
        <v>0.007294193996</v>
      </c>
    </row>
    <row r="67" ht="14.25" customHeight="1">
      <c r="A67" s="27" t="s">
        <v>307</v>
      </c>
      <c r="B67" s="31">
        <v>109.789375</v>
      </c>
      <c r="C67" s="28">
        <v>111.0932</v>
      </c>
      <c r="D67" s="29">
        <f t="shared" si="4"/>
        <v>0.0118756938</v>
      </c>
    </row>
    <row r="68" ht="14.25" customHeight="1">
      <c r="A68" s="27" t="s">
        <v>308</v>
      </c>
      <c r="B68" s="31">
        <v>109.789375</v>
      </c>
      <c r="C68" s="28">
        <v>112.072</v>
      </c>
      <c r="D68" s="29">
        <f t="shared" si="4"/>
        <v>0.0207909463</v>
      </c>
    </row>
    <row r="69" ht="14.25" customHeight="1">
      <c r="A69" s="27" t="s">
        <v>309</v>
      </c>
      <c r="B69" s="31">
        <v>109.789375</v>
      </c>
      <c r="C69" s="28">
        <v>113.2823</v>
      </c>
      <c r="D69" s="29">
        <f t="shared" si="4"/>
        <v>0.03181478171</v>
      </c>
    </row>
    <row r="70" ht="14.25" customHeight="1">
      <c r="A70" s="27" t="s">
        <v>310</v>
      </c>
      <c r="B70" s="31">
        <v>109.789375</v>
      </c>
      <c r="C70" s="28">
        <v>113.3754</v>
      </c>
      <c r="D70" s="29">
        <f t="shared" si="4"/>
        <v>0.03266276905</v>
      </c>
    </row>
    <row r="71" ht="14.25" customHeight="1">
      <c r="A71" s="27" t="s">
        <v>311</v>
      </c>
      <c r="B71" s="31">
        <v>109.789375</v>
      </c>
      <c r="C71" s="28">
        <v>113.6572</v>
      </c>
      <c r="D71" s="29">
        <f t="shared" si="4"/>
        <v>0.03522950194</v>
      </c>
    </row>
    <row r="72" ht="14.25" customHeight="1">
      <c r="A72" s="27" t="s">
        <v>312</v>
      </c>
      <c r="B72" s="31">
        <v>109.789375</v>
      </c>
      <c r="C72" s="28">
        <v>113.7888</v>
      </c>
      <c r="D72" s="29">
        <f t="shared" si="4"/>
        <v>0.03642816074</v>
      </c>
    </row>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D2:D13">
    <cfRule type="colorScale" priority="1">
      <colorScale>
        <cfvo type="min"/>
        <cfvo type="percentile" val="50"/>
        <cfvo type="max"/>
        <color rgb="FF63BE7B"/>
        <color rgb="FFFFEB84"/>
        <color rgb="FFF8696B"/>
      </colorScale>
    </cfRule>
  </conditionalFormatting>
  <conditionalFormatting sqref="D21:D32">
    <cfRule type="colorScale" priority="2">
      <colorScale>
        <cfvo type="min"/>
        <cfvo type="percentile" val="50"/>
        <cfvo type="max"/>
        <color rgb="FF63BE7B"/>
        <color rgb="FFFFEB84"/>
        <color rgb="FFF8696B"/>
      </colorScale>
    </cfRule>
  </conditionalFormatting>
  <conditionalFormatting sqref="D41:D52">
    <cfRule type="colorScale" priority="3">
      <colorScale>
        <cfvo type="min"/>
        <cfvo type="percentile" val="50"/>
        <cfvo type="max"/>
        <color rgb="FF63BE7B"/>
        <color rgb="FFFFEB84"/>
        <color rgb="FFF8696B"/>
      </colorScale>
    </cfRule>
  </conditionalFormatting>
  <conditionalFormatting sqref="D61:D72">
    <cfRule type="colorScale" priority="4">
      <colorScale>
        <cfvo type="min"/>
        <cfvo type="percentile" val="50"/>
        <cfvo type="max"/>
        <color rgb="FF63BE7B"/>
        <color rgb="FFFFEB84"/>
        <color rgb="FFF8696B"/>
      </colorScale>
    </cfRule>
  </conditionalFormatting>
  <printOptions/>
  <pageMargins bottom="0.75" footer="0.0" header="0.0" left="0.7" right="0.7" top="0.75"/>
  <pageSetup paperSize="9" orientation="portrait"/>
  <drawing r:id="rId1"/>
</worksheet>
</file>